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ummary &amp; Shop Sheet" state="visible" r:id="rId4"/>
    <sheet sheetId="2" name="2. Parts Comparison" state="visible" r:id="rId5"/>
    <sheet sheetId="3" name="3. Bundles &amp; Proportional Split" state="visible" r:id="rId6"/>
    <sheet sheetId="4" name="4. Full 38-Line Shop Quote" state="visible" r:id="rId7"/>
  </sheets>
  <calcPr calcId="171027"/>
</workbook>
</file>

<file path=xl/sharedStrings.xml><?xml version="1.0" encoding="utf-8"?>
<sst xmlns="http://schemas.openxmlformats.org/spreadsheetml/2006/main" count="710" uniqueCount="257">
  <si>
    <t>2015 CHEVROLET CORVETTE STINGRAY Z51 — REPAIR QUOTE &amp; USED PARTS COMPARISON</t>
  </si>
  <si>
    <t>Shop: DND Auto Body (Estimate #31065854)</t>
  </si>
  <si>
    <t>VIN: 1G1YJ2D72F5108806</t>
  </si>
  <si>
    <t>Owner: Michael Endrodi</t>
  </si>
  <si>
    <t>NJ Sales Tax Rate:</t>
  </si>
  <si>
    <t>Cost Category</t>
  </si>
  <si>
    <t>Shop Quote (All New OEM)</t>
  </si>
  <si>
    <t>Projected Cost (With Used)</t>
  </si>
  <si>
    <t>Projected Savings ($)</t>
  </si>
  <si>
    <t>Notes / Calculation Basis</t>
  </si>
  <si>
    <t>Replaceable Parts (Incl. Shipping &amp; Tax)</t>
  </si>
  <si>
    <t>Live sum from Tab 2 (Unsourced parts fall back to OEM New)</t>
  </si>
  <si>
    <t xml:space="preserve">  ↳ Sourced Parts Only (Direct Comparison)</t>
  </si>
  <si>
    <t>14 of 16 replaceable items currently sourced</t>
  </si>
  <si>
    <t>Shop Labor Total (60.0 hrs + 6.625% Tax)</t>
  </si>
  <si>
    <t>Body (33.2h), Refinish (14.3h), Frame (1.0h), Mech (11.5h)</t>
  </si>
  <si>
    <t>Paint &amp; Materials (14.0 units + 6.625% Tax)</t>
  </si>
  <si>
    <t>14.0 Refinish Units @ $37.00/unit + NJ Tax</t>
  </si>
  <si>
    <t>Same-Color Painted Panel Credit (Optional)</t>
  </si>
  <si>
    <t>Refinish labor &amp; paint material credit if used panels match paint</t>
  </si>
  <si>
    <t>GRAND TOTAL REPAIR COST</t>
  </si>
  <si>
    <t>Complete out-the-door repair estimate comparison</t>
  </si>
  <si>
    <t>CUSTOMER-SUPPLIED USED PARTS HANDOVER LIST (FOR BODY SHOP)</t>
  </si>
  <si>
    <t>Estimate Line &amp; Description</t>
  </si>
  <si>
    <t>OEM Part #</t>
  </si>
  <si>
    <t>Sourcing / Bundle / Vendor</t>
  </si>
  <si>
    <t>Delivery Status &amp; Tracking</t>
  </si>
  <si>
    <t>Part Notes</t>
  </si>
  <si>
    <t>Line #6: R Quarter Outer Panel</t>
  </si>
  <si>
    <t>84453011</t>
  </si>
  <si>
    <t>eBay / Pacific Motors — Used OEM Coupe Right Quarter Panel</t>
  </si>
  <si>
    <t>Watching / Quoted</t>
  </si>
  <si>
    <t>C7 Stingray Coupe Right Rear Quarter Panel (SMC/Composite). If sourced in matching factory paint color, can potentially skip repaint (Lines 7 &amp; 8: 2.7u paint + 3.2h refinish).</t>
  </si>
  <si>
    <t>Line #10: R Quarter Reinforcement</t>
  </si>
  <si>
    <t>20980041</t>
  </si>
  <si>
    <t>eBay / Corvette Salvage — Used OEM Reinforcement #20980041</t>
  </si>
  <si>
    <t>Inner quarter panel reinforcement bracket</t>
  </si>
  <si>
    <t>Line #11: R Drive Axle Differential Oil Cooler -M</t>
  </si>
  <si>
    <t>22908627</t>
  </si>
  <si>
    <t>eBay / C7 Salvage — Used OEM Z51 Differential Cooler #22908627</t>
  </si>
  <si>
    <t>Z51 Package Differential Cooler mounted in rear quarter area</t>
  </si>
  <si>
    <t>Line #16: R Upr Rear Susp Control Arm -M</t>
  </si>
  <si>
    <t>84463637</t>
  </si>
  <si>
    <t>[Bundle: Right Rear Suspension Knee Assembly (Lines 16–19)] eBay / Redline Auto Parts (Complete Right Rear Knee Assembly)</t>
  </si>
  <si>
    <t>Great candidate for a Right Rear Suspension Knee Assembly bundle (with Lines 17, 18, 19)</t>
  </si>
  <si>
    <t>Line #17: R Rear Susp Link -M</t>
  </si>
  <si>
    <t>23175952</t>
  </si>
  <si>
    <t>Right Rear Suspension Toe Link</t>
  </si>
  <si>
    <t>Line #18: R Rear Susp Shock Absorber -M</t>
  </si>
  <si>
    <t>84513886</t>
  </si>
  <si>
    <t>Verify Z51 vs Magnetic Ride (FE3/FE4) RPO code on part #84513886 before ordering</t>
  </si>
  <si>
    <t>Line #19: R Lwr Rear Susp Control Arm -M</t>
  </si>
  <si>
    <t>20965286</t>
  </si>
  <si>
    <t>High-value cast aluminum lower control arm ($887.11 OEM)</t>
  </si>
  <si>
    <t>Line #20: Rear Susp Spring -M</t>
  </si>
  <si>
    <t>22782496</t>
  </si>
  <si>
    <t>eBay — Used C7 Rear Composite Transverse Leaf Spring #22782496</t>
  </si>
  <si>
    <t>Transverse composite rear leaf spring (Z51 spec)</t>
  </si>
  <si>
    <t>Line #23: R Rear Signal Lamp</t>
  </si>
  <si>
    <t>23210930</t>
  </si>
  <si>
    <t>eBay — Used OEM Right Rear Marker / Signal Lamp #23210930</t>
  </si>
  <si>
    <t>Right rear side marker / signal lamp</t>
  </si>
  <si>
    <t>Line #25: Rear Upr Bumper Cover</t>
  </si>
  <si>
    <t>84411653</t>
  </si>
  <si>
    <t>CorvetteSalvage.com / eBay — Used OEM Rear Upper Bumper Cover</t>
  </si>
  <si>
    <t>Rear Upper Bumper Fascia. If sourced in matching factory paint color, toggle "Same Paint Color" to preview saving 4.0h Refinish + 3.3u Paint Materials.</t>
  </si>
  <si>
    <t>Line #27: R Rear Combination Lamp Bezel</t>
  </si>
  <si>
    <t>N.A.</t>
  </si>
  <si>
    <t>Shop Supplied (OEM New)</t>
  </si>
  <si>
    <t>Shop / Existing</t>
  </si>
  <si>
    <t>Quoted at $0.00 (Included with Rear Bumper Cover or Tail Lamp)</t>
  </si>
  <si>
    <t>Line #28: Rear Bumper Energy Absorber</t>
  </si>
  <si>
    <t>84186343</t>
  </si>
  <si>
    <t>eBay — Used OEM Rear Bumper Energy Absorber #84186343</t>
  </si>
  <si>
    <t>Rear bumper foam absorber</t>
  </si>
  <si>
    <t>Line #29: Rear Bumper Impact Bar (Alum)</t>
  </si>
  <si>
    <t>84337474</t>
  </si>
  <si>
    <t>eBay / Dino's Corvette Salvage — Used OEM Rear Impact Bar #84337474</t>
  </si>
  <si>
    <t>Aluminum rear crash bar / reinforcement beam</t>
  </si>
  <si>
    <t>Line #36: Right Rear Tire</t>
  </si>
  <si>
    <t>285/30ZR20 (Z51)</t>
  </si>
  <si>
    <t>[Bundle: Matching Rear Tire Pair — 285/30ZR20 Michelin ZP (Lines 36 &amp; 37)] United Tires (Utires.com) / eBay — Matching Used Pair (7.5/32"+ Tread)</t>
  </si>
  <si>
    <t>Z51 Rear Tire size: 285/30ZR20 Michelin Pilot Super Sport / Pilot Sport 4S ZP</t>
  </si>
  <si>
    <t>Line #37: Left Rear Tire</t>
  </si>
  <si>
    <t>Line #38: Mount &amp; Balance Tire (2 @ $25.00)</t>
  </si>
  <si>
    <t>MOUNT-BAL-2</t>
  </si>
  <si>
    <t>2 tires @ $25.00 each included in Estimate Taxable Parts total ($6,988.48)</t>
  </si>
  <si>
    <t>REPLACEABLE PARTS — OEM NEW vs. USED SOURCED (LIVE FORMULAS)</t>
  </si>
  <si>
    <t>NJ Tax Rate:</t>
  </si>
  <si>
    <t>Tip: Edit columns J, K, L (Used Price, Shipping, Tax) to recalculate Projected Total &amp; Savings live!</t>
  </si>
  <si>
    <t>Line #</t>
  </si>
  <si>
    <t>Category</t>
  </si>
  <si>
    <t>Part Description</t>
  </si>
  <si>
    <t>OEM Price</t>
  </si>
  <si>
    <t>OEM Tax</t>
  </si>
  <si>
    <t>OEM Total</t>
  </si>
  <si>
    <t>Sourcing Mode</t>
  </si>
  <si>
    <t>Vendor / Bundle</t>
  </si>
  <si>
    <t>Used Price ($)</t>
  </si>
  <si>
    <t>Shipping ($)</t>
  </si>
  <si>
    <t>Used Tax ($)</t>
  </si>
  <si>
    <t>Used Total ($)</t>
  </si>
  <si>
    <t>Projected Cost ($)</t>
  </si>
  <si>
    <t>Net Savings ($)</t>
  </si>
  <si>
    <t>Order Status</t>
  </si>
  <si>
    <t>Carrier &amp; Tracking</t>
  </si>
  <si>
    <t>Listing URL</t>
  </si>
  <si>
    <t>Notes</t>
  </si>
  <si>
    <t>Quarter Panel</t>
  </si>
  <si>
    <t>R Quarter Outer Panel</t>
  </si>
  <si>
    <t>Standalone Used</t>
  </si>
  <si>
    <t/>
  </si>
  <si>
    <t>https://www.ebay.com/sch/i.html?_nkw=C7+Corvette+Coupe+Right+Rear+Quarter+Panel+84453011+84054834</t>
  </si>
  <si>
    <t>R Quarter Reinforcement</t>
  </si>
  <si>
    <t>https://www.ebay.com/sch/i.html?_nkw=GM+20980041+Corvette</t>
  </si>
  <si>
    <t>R Drive Axle Differential Oil Cooler -M</t>
  </si>
  <si>
    <t>https://www.ebay.com/sch/i.html?_nkw=22908627+Corvette+Cooler</t>
  </si>
  <si>
    <t>Rear Suspension</t>
  </si>
  <si>
    <t>R Upr Rear Susp Control Arm -M</t>
  </si>
  <si>
    <t>Bundle (14.04% share)</t>
  </si>
  <si>
    <t>Right Rear Suspension Knee Assembly (Lines 16–19): eBay / Redline Auto Parts (Complete Right Rear Knee Assembly)</t>
  </si>
  <si>
    <t>https://www.ebay.com/sch/i.html?_nkw=C7+Corvette+Right+Rear+Suspension+Knee+Assembly+20965286</t>
  </si>
  <si>
    <t>R Rear Susp Link -M</t>
  </si>
  <si>
    <t>Bundle (10.69% share)</t>
  </si>
  <si>
    <t>R Rear Susp Shock Absorber -M</t>
  </si>
  <si>
    <t>Bundle (14.5% share)</t>
  </si>
  <si>
    <t>R Lwr Rear Susp Control Arm -M</t>
  </si>
  <si>
    <t>Bundle (60.77% share)</t>
  </si>
  <si>
    <t>Rear Susp Spring -M</t>
  </si>
  <si>
    <t>https://www.ebay.com/sch/i.html?_nkw=22782496+Corvette+Rear+Leaf+Spring</t>
  </si>
  <si>
    <t>Rear Lamps</t>
  </si>
  <si>
    <t>R Rear Signal Lamp</t>
  </si>
  <si>
    <t>https://www.ebay.com/sch/i.html?_nkw=23210930+Corvette</t>
  </si>
  <si>
    <t>Rear Bumper</t>
  </si>
  <si>
    <t>Rear Upr Bumper Cover</t>
  </si>
  <si>
    <t>https://www.ebay.com/sch/i.html?_nkw=C7+Corvette+Rear+Upper+Bumper+Cover+84411653+23397592</t>
  </si>
  <si>
    <t>R Rear Combination Lamp Bezel</t>
  </si>
  <si>
    <t>Shop OEM New</t>
  </si>
  <si>
    <t>Rear Bumper Energy Absorber</t>
  </si>
  <si>
    <t>https://www.ebay.com/sch/i.html?_nkw=84186343+Corvette+Absorber</t>
  </si>
  <si>
    <t>Rear Bumper Impact Bar (Alum)</t>
  </si>
  <si>
    <t>https://www.ebay.com/sch/i.html?_nkw=C7+Corvette+Rear+Impact+Bar+84337474+84180246+23136262</t>
  </si>
  <si>
    <t>Body Components (Tires)</t>
  </si>
  <si>
    <t>Right Rear Tire</t>
  </si>
  <si>
    <t>Bundle (50% share)</t>
  </si>
  <si>
    <t>Matching Rear Tire Pair — 285/30ZR20 Michelin ZP (Lines 36 &amp; 37): United Tires (Utires.com) / eBay — Matching Used Pair (7.5/32"+ Tread)</t>
  </si>
  <si>
    <t>https://www.utires.com/tires/size/285-30r20/</t>
  </si>
  <si>
    <t>Left Rear Tire</t>
  </si>
  <si>
    <t>Mount &amp; Balance Tire (2 @ $25.00)</t>
  </si>
  <si>
    <t>TOTAL REPLACEABLE PARTS</t>
  </si>
  <si>
    <t>PROPORTIONAL BUNDLE ALLOCATION CALCULATOR (NEW OEM WEIGHT % × USED BUNDLE COST)</t>
  </si>
  <si>
    <t>Formula Rule: Each part in a bundle is weighted by (Part OEM New Price ÷ Total Bundle OEM New Price). That exact % is multiplied by the Used Bundle Price, Shipping, and Tax.</t>
  </si>
  <si>
    <t>Bundle Name &amp; Vendor</t>
  </si>
  <si>
    <t>Included Part Description</t>
  </si>
  <si>
    <t>Part OEM New ($)</t>
  </si>
  <si>
    <t>Bundle OEM Sum ($)</t>
  </si>
  <si>
    <t>OEM Weight (%)</t>
  </si>
  <si>
    <t>Bundle Used Total ($)</t>
  </si>
  <si>
    <t>Allocated Price ($)</t>
  </si>
  <si>
    <t>Allocated Ship ($)</t>
  </si>
  <si>
    <t>Allocated Tax ($)</t>
  </si>
  <si>
    <t>Allocated Total ($)</t>
  </si>
  <si>
    <t>Part Savings vs OEM ($)</t>
  </si>
  <si>
    <t>Right Rear Suspension Knee Assembly (Lines 16–19) (eBay / Redline Auto Parts (Complete Right Rear Knee Assembly))</t>
  </si>
  <si>
    <t>Matching Rear Tire Pair — 285/30ZR20 Michelin ZP (Lines 36 &amp; 37) (United Tires (Utires.com) / eBay — Matching Used Pair (7.5/32"+ Tread))</t>
  </si>
  <si>
    <t>Code</t>
  </si>
  <si>
    <t>Section</t>
  </si>
  <si>
    <t>Description</t>
  </si>
  <si>
    <t>Operation</t>
  </si>
  <si>
    <t>Labor Type</t>
  </si>
  <si>
    <t>Labor Hrs</t>
  </si>
  <si>
    <t>Part Type</t>
  </si>
  <si>
    <t>Qty</t>
  </si>
  <si>
    <t>OEM Price ($)</t>
  </si>
  <si>
    <t>Taxable</t>
  </si>
  <si>
    <t>100413</t>
  </si>
  <si>
    <t>Wheel</t>
  </si>
  <si>
    <t>Rear Alloy Wheel</t>
  </si>
  <si>
    <t>Repair</t>
  </si>
  <si>
    <t>Body</t>
  </si>
  <si>
    <t>Existing</t>
  </si>
  <si>
    <t>No</t>
  </si>
  <si>
    <t>Repair existing rear alloy wheel (4.0 hrs body labor)</t>
  </si>
  <si>
    <t>100003</t>
  </si>
  <si>
    <t>Front Door</t>
  </si>
  <si>
    <t>R Frt Door Outside</t>
  </si>
  <si>
    <t>Blend</t>
  </si>
  <si>
    <t>Refinish</t>
  </si>
  <si>
    <t>Blend right front door outside (Included in Clear Coat calc)</t>
  </si>
  <si>
    <t>100684</t>
  </si>
  <si>
    <t>R Frt Rear View Mirror</t>
  </si>
  <si>
    <t>Remove / Install</t>
  </si>
  <si>
    <t>100686</t>
  </si>
  <si>
    <t>R Frt Otr Door Belt Moulding</t>
  </si>
  <si>
    <t>100310</t>
  </si>
  <si>
    <t>R Frt Latch Control</t>
  </si>
  <si>
    <t>100952</t>
  </si>
  <si>
    <t>Remove / Replace</t>
  </si>
  <si>
    <t>New</t>
  </si>
  <si>
    <t>Yes</t>
  </si>
  <si>
    <t>AUTO</t>
  </si>
  <si>
    <t>R Quarter Panel Outside</t>
  </si>
  <si>
    <t>Refinish Only</t>
  </si>
  <si>
    <t>Linked to Line #6 (R Quarter Outer Panel)</t>
  </si>
  <si>
    <t>R Quarter Panel Edge</t>
  </si>
  <si>
    <t>Rear Bumper Cover</t>
  </si>
  <si>
    <t>INC# (Included labor)</t>
  </si>
  <si>
    <t>100960</t>
  </si>
  <si>
    <t>100237</t>
  </si>
  <si>
    <t>Mechanical</t>
  </si>
  <si>
    <t>101651</t>
  </si>
  <si>
    <t>Liftgate</t>
  </si>
  <si>
    <t>Liftgate Shell</t>
  </si>
  <si>
    <t>Liftgate Outside</t>
  </si>
  <si>
    <t>R Rear Suspension One Side -M</t>
  </si>
  <si>
    <t>Overhaul</t>
  </si>
  <si>
    <t>Overhaul right rear suspension assembly (5.0 hrs Mechanical)</t>
  </si>
  <si>
    <t>Does Not Include Alignment</t>
  </si>
  <si>
    <t>Note line</t>
  </si>
  <si>
    <t>100266</t>
  </si>
  <si>
    <t>100272</t>
  </si>
  <si>
    <t>100274</t>
  </si>
  <si>
    <t>100206</t>
  </si>
  <si>
    <t>100210</t>
  </si>
  <si>
    <t>101818</t>
  </si>
  <si>
    <t>Rear Body</t>
  </si>
  <si>
    <t>Rear Body Rear Floor Pan</t>
  </si>
  <si>
    <t>Rear Floor Pan Assy</t>
  </si>
  <si>
    <t>100936</t>
  </si>
  <si>
    <t>Rear Bumper Cover Assy</t>
  </si>
  <si>
    <t>100905</t>
  </si>
  <si>
    <t>Linked to Line #25 (Rear Upr Bumper Cover)</t>
  </si>
  <si>
    <t>101408</t>
  </si>
  <si>
    <t>100919</t>
  </si>
  <si>
    <t>100053</t>
  </si>
  <si>
    <t>Additional Costs &amp; Materials</t>
  </si>
  <si>
    <t>Paint/Materials</t>
  </si>
  <si>
    <t>Additional Cost</t>
  </si>
  <si>
    <t>$518.00 (14.0 Refinish Units @ $37.00/hr)</t>
  </si>
  <si>
    <t>Additional Operations</t>
  </si>
  <si>
    <t>Clear Coat</t>
  </si>
  <si>
    <t>Additional Operation</t>
  </si>
  <si>
    <t>Clear Coat Refinish operation</t>
  </si>
  <si>
    <t>933006</t>
  </si>
  <si>
    <t>Frame/Rack Set Up</t>
  </si>
  <si>
    <t>Frame</t>
  </si>
  <si>
    <t>933069</t>
  </si>
  <si>
    <t>Wheel Alignment</t>
  </si>
  <si>
    <t>$150.00 sublet + 1.0 hr Mechanical labor</t>
  </si>
  <si>
    <t>933003</t>
  </si>
  <si>
    <t>Tint Color</t>
  </si>
  <si>
    <t>933018</t>
  </si>
  <si>
    <t>Mask For Overspray</t>
  </si>
  <si>
    <t>$5.00 additional + 0.3 hr Refinish</t>
  </si>
  <si>
    <t>931120</t>
  </si>
  <si>
    <t>931119</t>
  </si>
  <si>
    <t>931125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</si>
</sst>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$#,##0.00;($#,##0.00);&quot;-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</font>
    <font>
      <b/>
      <color rgb="FF2563EB"/>
    </font>
    <font>
      <b/>
      <color rgb="FFFFFFFF"/>
    </font>
    <font>
      <i/>
      <color rgb="FF475569"/>
    </font>
    <font>
      <b/>
      <sz val="12"/>
    </font>
    <font>
      <b/>
      <color rgb="FF15803D"/>
      <sz val="12"/>
    </font>
    <font>
      <b/>
      <color rgb="FF0F172A"/>
      <sz val="12"/>
    </font>
    <font>
      <b/>
      <color rgb="FFFFFFFF"/>
      <sz val="13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0F766E"/>
      </patternFill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165" fontId="0" fillId="0" borderId="0" xfId="0" applyNumberForma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6" fillId="4" borderId="0" xfId="0" applyFont="1" applyFill="1"/>
    <xf numFmtId="165" fontId="6" fillId="4" borderId="0" xfId="0" applyNumberFormat="1" applyFont="1" applyFill="1"/>
    <xf numFmtId="165" fontId="7" fillId="4" borderId="0" xfId="0" applyNumberFormat="1" applyFont="1" applyFill="1"/>
    <xf numFmtId="0" fontId="8" fillId="0" borderId="0" xfId="0" applyFont="1"/>
    <xf numFmtId="0" fontId="4" fillId="5" borderId="0" xfId="0" applyFont="1" applyFill="1"/>
    <xf numFmtId="0" fontId="9" fillId="2" borderId="0" xfId="0" applyFont="1" applyFill="1"/>
    <xf numFmtId="164" fontId="0" fillId="0" borderId="0" xfId="0" applyNumberFormat="1"/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/>
    <xf numFmtId="165" fontId="2" fillId="4" borderId="0" xfId="0" applyNumberFormat="1" applyFont="1" applyFill="1"/>
    <xf numFmtId="0" fontId="4" fillId="6" borderId="0" xfId="0" applyFont="1" applyFill="1" applyAlignment="1">
      <alignment horizontal="center" vertical="center" wrapText="1"/>
    </xf>
    <xf numFmtId="10" fontId="0" fillId="0" borderId="0" xfId="0" applyNumberForma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FormatPr defaultRowHeight="15" outlineLevelRow="0" outlineLevelCol="0" x14ac:dyDescent="55"/>
  <cols>
    <col min="1" max="1" width="36" customWidth="1"/>
    <col min="2" max="4" width="22" customWidth="1"/>
    <col min="5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C2" t="s">
        <v>2</v>
      </c>
      <c r="E2" t="s">
        <v>3</v>
      </c>
    </row>
    <row r="3" spans="1:2" x14ac:dyDescent="0.25">
      <c r="A3" t="s">
        <v>4</v>
      </c>
      <c r="B3" s="3">
        <v>0.06625</v>
      </c>
    </row>
    <row r="5" ht="22" customHeight="1" spans="1:5" s="4" customFormat="1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</row>
    <row r="6" spans="1:5" x14ac:dyDescent="0.25">
      <c r="A6" t="s">
        <v>10</v>
      </c>
      <c r="B6" s="6">
        <f>'2. Parts Comparison'!G21</f>
      </c>
      <c r="C6" s="6">
        <f>'2. Parts Comparison'!N21</f>
      </c>
      <c r="D6" s="6">
        <f>B6-C6</f>
      </c>
      <c r="E6" t="s">
        <v>11</v>
      </c>
    </row>
    <row r="7" spans="1:5" s="7" customFormat="1" x14ac:dyDescent="0.25">
      <c r="A7" s="7" t="s">
        <v>12</v>
      </c>
      <c r="B7" s="8">
        <v>7398.15</v>
      </c>
      <c r="C7" s="8">
        <v>2922.59</v>
      </c>
      <c r="D7" s="8">
        <f>B7-C7</f>
      </c>
      <c r="E7" s="7" t="s">
        <v>13</v>
      </c>
    </row>
    <row r="8" spans="1:5" x14ac:dyDescent="0.25">
      <c r="A8" t="s">
        <v>14</v>
      </c>
      <c r="B8" s="6">
        <v>4459.59</v>
      </c>
      <c r="C8" s="6">
        <v>4459.59</v>
      </c>
      <c r="D8" s="6">
        <f>B8-C8</f>
      </c>
      <c r="E8" t="s">
        <v>15</v>
      </c>
    </row>
    <row r="9" spans="1:5" x14ac:dyDescent="0.25">
      <c r="A9" t="s">
        <v>16</v>
      </c>
      <c r="B9" s="6">
        <v>552.32</v>
      </c>
      <c r="C9" s="6">
        <v>552.32</v>
      </c>
      <c r="D9" s="6">
        <f>B9-C9</f>
      </c>
      <c r="E9" t="s">
        <v>17</v>
      </c>
    </row>
    <row r="10" spans="1:5" x14ac:dyDescent="0.25">
      <c r="A10" t="s">
        <v>18</v>
      </c>
      <c r="B10" s="6">
        <v>0</v>
      </c>
      <c r="C10" s="6">
        <v>0</v>
      </c>
      <c r="D10" s="6">
        <f>B10-C10</f>
      </c>
      <c r="E10" t="s">
        <v>19</v>
      </c>
    </row>
    <row r="11" ht="24" customHeight="1" spans="1:5" s="9" customFormat="1" x14ac:dyDescent="0.25">
      <c r="A11" s="10" t="s">
        <v>20</v>
      </c>
      <c r="B11" s="11">
        <f>B6+B8+B9+B10</f>
      </c>
      <c r="C11" s="11">
        <f>C6+C8+C9+C10</f>
      </c>
      <c r="D11" s="12">
        <f>B11-C11</f>
      </c>
      <c r="E11" s="10" t="s">
        <v>21</v>
      </c>
    </row>
    <row r="13" spans="1:1" s="13" customFormat="1" x14ac:dyDescent="0.25">
      <c r="A13" s="13" t="s">
        <v>22</v>
      </c>
    </row>
    <row r="14" spans="1:5" s="4" customFormat="1" x14ac:dyDescent="0.25">
      <c r="A14" s="14" t="s">
        <v>23</v>
      </c>
      <c r="B14" s="14" t="s">
        <v>24</v>
      </c>
      <c r="C14" s="14" t="s">
        <v>25</v>
      </c>
      <c r="D14" s="14" t="s">
        <v>26</v>
      </c>
      <c r="E14" s="14" t="s">
        <v>27</v>
      </c>
    </row>
    <row r="15" spans="1:5" x14ac:dyDescent="0.2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 spans="1:5" x14ac:dyDescent="0.25">
      <c r="A16" t="s">
        <v>33</v>
      </c>
      <c r="B16" t="s">
        <v>34</v>
      </c>
      <c r="C16" t="s">
        <v>35</v>
      </c>
      <c r="D16" t="s">
        <v>31</v>
      </c>
      <c r="E16" t="s">
        <v>36</v>
      </c>
    </row>
    <row r="17" spans="1:5" x14ac:dyDescent="0.25">
      <c r="A17" t="s">
        <v>37</v>
      </c>
      <c r="B17" t="s">
        <v>38</v>
      </c>
      <c r="C17" t="s">
        <v>39</v>
      </c>
      <c r="D17" t="s">
        <v>31</v>
      </c>
      <c r="E17" t="s">
        <v>40</v>
      </c>
    </row>
    <row r="18" spans="1:5" x14ac:dyDescent="0.25">
      <c r="A18" t="s">
        <v>41</v>
      </c>
      <c r="B18" t="s">
        <v>42</v>
      </c>
      <c r="C18" t="s">
        <v>43</v>
      </c>
      <c r="D18" t="s">
        <v>31</v>
      </c>
      <c r="E18" t="s">
        <v>44</v>
      </c>
    </row>
    <row r="19" spans="1:5" x14ac:dyDescent="0.25">
      <c r="A19" t="s">
        <v>45</v>
      </c>
      <c r="B19" t="s">
        <v>46</v>
      </c>
      <c r="C19" t="s">
        <v>43</v>
      </c>
      <c r="D19" t="s">
        <v>31</v>
      </c>
      <c r="E19" t="s">
        <v>47</v>
      </c>
    </row>
    <row r="20" spans="1:5" x14ac:dyDescent="0.25">
      <c r="A20" t="s">
        <v>48</v>
      </c>
      <c r="B20" t="s">
        <v>49</v>
      </c>
      <c r="C20" t="s">
        <v>43</v>
      </c>
      <c r="D20" t="s">
        <v>31</v>
      </c>
      <c r="E20" t="s">
        <v>50</v>
      </c>
    </row>
    <row r="21" spans="1:5" x14ac:dyDescent="0.25">
      <c r="A21" t="s">
        <v>51</v>
      </c>
      <c r="B21" t="s">
        <v>52</v>
      </c>
      <c r="C21" t="s">
        <v>43</v>
      </c>
      <c r="D21" t="s">
        <v>31</v>
      </c>
      <c r="E21" t="s">
        <v>53</v>
      </c>
    </row>
    <row r="22" spans="1:5" x14ac:dyDescent="0.25">
      <c r="A22" t="s">
        <v>54</v>
      </c>
      <c r="B22" t="s">
        <v>55</v>
      </c>
      <c r="C22" t="s">
        <v>56</v>
      </c>
      <c r="D22" t="s">
        <v>31</v>
      </c>
      <c r="E22" t="s">
        <v>57</v>
      </c>
    </row>
    <row r="23" spans="1:5" x14ac:dyDescent="0.25">
      <c r="A23" t="s">
        <v>58</v>
      </c>
      <c r="B23" t="s">
        <v>59</v>
      </c>
      <c r="C23" t="s">
        <v>60</v>
      </c>
      <c r="D23" t="s">
        <v>31</v>
      </c>
      <c r="E23" t="s">
        <v>61</v>
      </c>
    </row>
    <row r="24" spans="1:5" x14ac:dyDescent="0.25">
      <c r="A24" t="s">
        <v>62</v>
      </c>
      <c r="B24" t="s">
        <v>63</v>
      </c>
      <c r="C24" t="s">
        <v>64</v>
      </c>
      <c r="D24" t="s">
        <v>31</v>
      </c>
      <c r="E24" t="s">
        <v>65</v>
      </c>
    </row>
    <row r="25" spans="1:5" x14ac:dyDescent="0.25">
      <c r="A25" t="s">
        <v>66</v>
      </c>
      <c r="B25" t="s">
        <v>67</v>
      </c>
      <c r="C25" t="s">
        <v>68</v>
      </c>
      <c r="D25" t="s">
        <v>69</v>
      </c>
      <c r="E25" t="s">
        <v>70</v>
      </c>
    </row>
    <row r="26" spans="1:5" x14ac:dyDescent="0.25">
      <c r="A26" t="s">
        <v>71</v>
      </c>
      <c r="B26" t="s">
        <v>72</v>
      </c>
      <c r="C26" t="s">
        <v>73</v>
      </c>
      <c r="D26" t="s">
        <v>31</v>
      </c>
      <c r="E26" t="s">
        <v>74</v>
      </c>
    </row>
    <row r="27" spans="1:5" x14ac:dyDescent="0.25">
      <c r="A27" t="s">
        <v>75</v>
      </c>
      <c r="B27" t="s">
        <v>76</v>
      </c>
      <c r="C27" t="s">
        <v>77</v>
      </c>
      <c r="D27" t="s">
        <v>31</v>
      </c>
      <c r="E27" t="s">
        <v>78</v>
      </c>
    </row>
    <row r="28" spans="1:5" x14ac:dyDescent="0.25">
      <c r="A28" t="s">
        <v>79</v>
      </c>
      <c r="B28" t="s">
        <v>80</v>
      </c>
      <c r="C28" t="s">
        <v>81</v>
      </c>
      <c r="D28" t="s">
        <v>31</v>
      </c>
      <c r="E28" t="s">
        <v>82</v>
      </c>
    </row>
    <row r="29" spans="1:5" x14ac:dyDescent="0.25">
      <c r="A29" t="s">
        <v>83</v>
      </c>
      <c r="B29" t="s">
        <v>80</v>
      </c>
      <c r="C29" t="s">
        <v>81</v>
      </c>
      <c r="D29" t="s">
        <v>31</v>
      </c>
      <c r="E29" t="s">
        <v>82</v>
      </c>
    </row>
    <row r="30" spans="1:5" x14ac:dyDescent="0.25">
      <c r="A30" t="s">
        <v>84</v>
      </c>
      <c r="B30" t="s">
        <v>85</v>
      </c>
      <c r="C30" t="s">
        <v>68</v>
      </c>
      <c r="D30" t="s">
        <v>69</v>
      </c>
      <c r="E30" t="s">
        <v>86</v>
      </c>
    </row>
  </sheetData>
  <mergeCells count="1">
    <mergeCell ref="A1:E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6" customWidth="1"/>
    <col min="5" max="5" width="15" customWidth="1"/>
    <col min="6" max="6" width="13" customWidth="1"/>
    <col min="7" max="7" width="15" customWidth="1"/>
    <col min="8" max="8" width="20" customWidth="1"/>
    <col min="9" max="9" width="24" customWidth="1"/>
    <col min="10" max="10" width="15" customWidth="1"/>
    <col min="11" max="11" width="14" customWidth="1"/>
    <col min="12" max="12" width="13" customWidth="1"/>
    <col min="13" max="15" width="16" customWidth="1"/>
    <col min="16" max="16" width="18" customWidth="1"/>
    <col min="17" max="17" width="22" customWidth="1"/>
    <col min="18" max="18" width="28" customWidth="1"/>
    <col min="19" max="19" width="38" customWidth="1"/>
  </cols>
  <sheetData>
    <row r="1" ht="24" customHeight="1" spans="1:19" x14ac:dyDescent="0.25">
      <c r="A1" s="15" t="s">
        <v>87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4" x14ac:dyDescent="0.25">
      <c r="A2" t="s">
        <v>88</v>
      </c>
      <c r="B2" s="16">
        <v>0.06625</v>
      </c>
      <c r="D2" s="7" t="s">
        <v>89</v>
      </c>
    </row>
    <row r="4" ht="26" customHeight="1" spans="1:19" s="4" customFormat="1" x14ac:dyDescent="0.25">
      <c r="A4" s="17" t="s">
        <v>90</v>
      </c>
      <c r="B4" s="17" t="s">
        <v>91</v>
      </c>
      <c r="C4" s="17" t="s">
        <v>92</v>
      </c>
      <c r="D4" s="17" t="s">
        <v>24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99</v>
      </c>
      <c r="L4" s="17" t="s">
        <v>100</v>
      </c>
      <c r="M4" s="17" t="s">
        <v>101</v>
      </c>
      <c r="N4" s="17" t="s">
        <v>102</v>
      </c>
      <c r="O4" s="17" t="s">
        <v>103</v>
      </c>
      <c r="P4" s="17" t="s">
        <v>104</v>
      </c>
      <c r="Q4" s="17" t="s">
        <v>105</v>
      </c>
      <c r="R4" s="17" t="s">
        <v>106</v>
      </c>
      <c r="S4" s="17" t="s">
        <v>107</v>
      </c>
    </row>
    <row r="5" spans="1:19" x14ac:dyDescent="0.25">
      <c r="A5">
        <v>6</v>
      </c>
      <c r="B5" t="s">
        <v>108</v>
      </c>
      <c r="C5" t="s">
        <v>109</v>
      </c>
      <c r="D5" t="s">
        <v>29</v>
      </c>
      <c r="E5" s="6">
        <v>1452.39</v>
      </c>
      <c r="F5" s="6">
        <f>ROUND(E5*$B$2, 2)</f>
      </c>
      <c r="G5" s="6">
        <f>E5+F5</f>
      </c>
      <c r="H5" t="s">
        <v>110</v>
      </c>
      <c r="I5" t="s">
        <v>30</v>
      </c>
      <c r="J5" s="6">
        <v>350</v>
      </c>
      <c r="K5" s="6">
        <v>125</v>
      </c>
      <c r="L5" s="6">
        <v>31.47</v>
      </c>
      <c r="M5" s="6">
        <f>IF(COUNT(J5:L5)&gt;0, SUM(J5:L5), "")</f>
      </c>
      <c r="N5" s="6">
        <f>IF(ISNUMBER(M5), M5, G5)</f>
      </c>
      <c r="O5" s="6">
        <f>G5-N5</f>
      </c>
      <c r="P5" t="s">
        <v>31</v>
      </c>
      <c r="Q5" t="s">
        <v>111</v>
      </c>
      <c r="R5" t="s">
        <v>112</v>
      </c>
      <c r="S5" t="s">
        <v>32</v>
      </c>
    </row>
    <row r="6" spans="1:19" x14ac:dyDescent="0.25">
      <c r="A6">
        <v>10</v>
      </c>
      <c r="B6" t="s">
        <v>108</v>
      </c>
      <c r="C6" t="s">
        <v>113</v>
      </c>
      <c r="D6" t="s">
        <v>34</v>
      </c>
      <c r="E6" s="6">
        <v>97.96</v>
      </c>
      <c r="F6" s="6">
        <f>ROUND(E6*$B$2, 2)</f>
      </c>
      <c r="G6" s="6">
        <f>E6+F6</f>
      </c>
      <c r="H6" t="s">
        <v>110</v>
      </c>
      <c r="I6" t="s">
        <v>35</v>
      </c>
      <c r="J6" s="6">
        <v>38</v>
      </c>
      <c r="K6" s="6">
        <v>12</v>
      </c>
      <c r="L6" s="6">
        <v>3.31</v>
      </c>
      <c r="M6" s="6">
        <f>IF(COUNT(J6:L6)&gt;0, SUM(J6:L6), "")</f>
      </c>
      <c r="N6" s="6">
        <f>IF(ISNUMBER(M6), M6, G6)</f>
      </c>
      <c r="O6" s="6">
        <f>G6-N6</f>
      </c>
      <c r="P6" t="s">
        <v>31</v>
      </c>
      <c r="Q6" t="s">
        <v>111</v>
      </c>
      <c r="R6" t="s">
        <v>114</v>
      </c>
      <c r="S6" t="s">
        <v>36</v>
      </c>
    </row>
    <row r="7" spans="1:19" x14ac:dyDescent="0.25">
      <c r="A7">
        <v>11</v>
      </c>
      <c r="B7" t="s">
        <v>108</v>
      </c>
      <c r="C7" t="s">
        <v>115</v>
      </c>
      <c r="D7" t="s">
        <v>38</v>
      </c>
      <c r="E7" s="6">
        <v>581.12</v>
      </c>
      <c r="F7" s="6">
        <f>ROUND(E7*$B$2, 2)</f>
      </c>
      <c r="G7" s="6">
        <f>E7+F7</f>
      </c>
      <c r="H7" t="s">
        <v>110</v>
      </c>
      <c r="I7" t="s">
        <v>39</v>
      </c>
      <c r="J7" s="6">
        <v>175</v>
      </c>
      <c r="K7" s="6">
        <v>20</v>
      </c>
      <c r="L7" s="6">
        <v>12.92</v>
      </c>
      <c r="M7" s="6">
        <f>IF(COUNT(J7:L7)&gt;0, SUM(J7:L7), "")</f>
      </c>
      <c r="N7" s="6">
        <f>IF(ISNUMBER(M7), M7, G7)</f>
      </c>
      <c r="O7" s="6">
        <f>G7-N7</f>
      </c>
      <c r="P7" t="s">
        <v>31</v>
      </c>
      <c r="Q7" t="s">
        <v>111</v>
      </c>
      <c r="R7" t="s">
        <v>116</v>
      </c>
      <c r="S7" t="s">
        <v>40</v>
      </c>
    </row>
    <row r="8" spans="1:19" x14ac:dyDescent="0.25">
      <c r="A8">
        <v>16</v>
      </c>
      <c r="B8" t="s">
        <v>117</v>
      </c>
      <c r="C8" t="s">
        <v>118</v>
      </c>
      <c r="D8" t="s">
        <v>42</v>
      </c>
      <c r="E8" s="6">
        <v>204.93</v>
      </c>
      <c r="F8" s="6">
        <f>ROUND(E8*$B$2, 2)</f>
      </c>
      <c r="G8" s="6">
        <f>E8+F8</f>
      </c>
      <c r="H8" t="s">
        <v>119</v>
      </c>
      <c r="I8" t="s">
        <v>120</v>
      </c>
      <c r="J8" s="6">
        <v>59.66</v>
      </c>
      <c r="K8" s="6">
        <v>9.12</v>
      </c>
      <c r="L8" s="6">
        <v>4.56</v>
      </c>
      <c r="M8" s="6">
        <f>IF(COUNT(J8:L8)&gt;0, SUM(J8:L8), "")</f>
      </c>
      <c r="N8" s="6">
        <f>IF(ISNUMBER(M8), M8, G8)</f>
      </c>
      <c r="O8" s="6">
        <f>G8-N8</f>
      </c>
      <c r="P8" t="s">
        <v>31</v>
      </c>
      <c r="Q8" t="s">
        <v>111</v>
      </c>
      <c r="R8" t="s">
        <v>121</v>
      </c>
      <c r="S8" t="s">
        <v>44</v>
      </c>
    </row>
    <row r="9" spans="1:19" x14ac:dyDescent="0.25">
      <c r="A9">
        <v>17</v>
      </c>
      <c r="B9" t="s">
        <v>117</v>
      </c>
      <c r="C9" t="s">
        <v>122</v>
      </c>
      <c r="D9" t="s">
        <v>46</v>
      </c>
      <c r="E9" s="6">
        <v>156.06</v>
      </c>
      <c r="F9" s="6">
        <f>ROUND(E9*$B$2, 2)</f>
      </c>
      <c r="G9" s="6">
        <f>E9+F9</f>
      </c>
      <c r="H9" t="s">
        <v>123</v>
      </c>
      <c r="I9" t="s">
        <v>120</v>
      </c>
      <c r="J9" s="6">
        <v>45.43</v>
      </c>
      <c r="K9" s="6">
        <v>6.95</v>
      </c>
      <c r="L9" s="6">
        <v>3.47</v>
      </c>
      <c r="M9" s="6">
        <f>IF(COUNT(J9:L9)&gt;0, SUM(J9:L9), "")</f>
      </c>
      <c r="N9" s="6">
        <f>IF(ISNUMBER(M9), M9, G9)</f>
      </c>
      <c r="O9" s="6">
        <f>G9-N9</f>
      </c>
      <c r="P9" t="s">
        <v>31</v>
      </c>
      <c r="Q9" t="s">
        <v>111</v>
      </c>
      <c r="R9" t="s">
        <v>121</v>
      </c>
      <c r="S9" t="s">
        <v>47</v>
      </c>
    </row>
    <row r="10" spans="1:19" x14ac:dyDescent="0.25">
      <c r="A10">
        <v>18</v>
      </c>
      <c r="B10" t="s">
        <v>117</v>
      </c>
      <c r="C10" t="s">
        <v>124</v>
      </c>
      <c r="D10" t="s">
        <v>49</v>
      </c>
      <c r="E10" s="6">
        <v>211.73</v>
      </c>
      <c r="F10" s="6">
        <f>ROUND(E10*$B$2, 2)</f>
      </c>
      <c r="G10" s="6">
        <f>E10+F10</f>
      </c>
      <c r="H10" t="s">
        <v>125</v>
      </c>
      <c r="I10" t="s">
        <v>120</v>
      </c>
      <c r="J10" s="6">
        <v>61.64</v>
      </c>
      <c r="K10" s="6">
        <v>9.43</v>
      </c>
      <c r="L10" s="6">
        <v>4.71</v>
      </c>
      <c r="M10" s="6">
        <f>IF(COUNT(J10:L10)&gt;0, SUM(J10:L10), "")</f>
      </c>
      <c r="N10" s="6">
        <f>IF(ISNUMBER(M10), M10, G10)</f>
      </c>
      <c r="O10" s="6">
        <f>G10-N10</f>
      </c>
      <c r="P10" t="s">
        <v>31</v>
      </c>
      <c r="Q10" t="s">
        <v>111</v>
      </c>
      <c r="R10" t="s">
        <v>121</v>
      </c>
      <c r="S10" t="s">
        <v>50</v>
      </c>
    </row>
    <row r="11" spans="1:19" x14ac:dyDescent="0.25">
      <c r="A11">
        <v>19</v>
      </c>
      <c r="B11" t="s">
        <v>117</v>
      </c>
      <c r="C11" t="s">
        <v>126</v>
      </c>
      <c r="D11" t="s">
        <v>52</v>
      </c>
      <c r="E11" s="6">
        <v>887.11</v>
      </c>
      <c r="F11" s="6">
        <f>ROUND(E11*$B$2, 2)</f>
      </c>
      <c r="G11" s="6">
        <f>E11+F11</f>
      </c>
      <c r="H11" t="s">
        <v>127</v>
      </c>
      <c r="I11" t="s">
        <v>120</v>
      </c>
      <c r="J11" s="6">
        <v>258.26</v>
      </c>
      <c r="K11" s="6">
        <v>39.5</v>
      </c>
      <c r="L11" s="6">
        <v>19.73</v>
      </c>
      <c r="M11" s="6">
        <f>IF(COUNT(J11:L11)&gt;0, SUM(J11:L11), "")</f>
      </c>
      <c r="N11" s="6">
        <f>IF(ISNUMBER(M11), M11, G11)</f>
      </c>
      <c r="O11" s="6">
        <f>G11-N11</f>
      </c>
      <c r="P11" t="s">
        <v>31</v>
      </c>
      <c r="Q11" t="s">
        <v>111</v>
      </c>
      <c r="R11" t="s">
        <v>121</v>
      </c>
      <c r="S11" t="s">
        <v>53</v>
      </c>
    </row>
    <row r="12" spans="1:19" x14ac:dyDescent="0.25">
      <c r="A12">
        <v>20</v>
      </c>
      <c r="B12" t="s">
        <v>117</v>
      </c>
      <c r="C12" t="s">
        <v>128</v>
      </c>
      <c r="D12" t="s">
        <v>55</v>
      </c>
      <c r="E12" s="6">
        <v>431.65</v>
      </c>
      <c r="F12" s="6">
        <f>ROUND(E12*$B$2, 2)</f>
      </c>
      <c r="G12" s="6">
        <f>E12+F12</f>
      </c>
      <c r="H12" t="s">
        <v>110</v>
      </c>
      <c r="I12" t="s">
        <v>56</v>
      </c>
      <c r="J12" s="6">
        <v>165</v>
      </c>
      <c r="K12" s="6">
        <v>30</v>
      </c>
      <c r="L12" s="6">
        <v>12.92</v>
      </c>
      <c r="M12" s="6">
        <f>IF(COUNT(J12:L12)&gt;0, SUM(J12:L12), "")</f>
      </c>
      <c r="N12" s="6">
        <f>IF(ISNUMBER(M12), M12, G12)</f>
      </c>
      <c r="O12" s="6">
        <f>G12-N12</f>
      </c>
      <c r="P12" t="s">
        <v>31</v>
      </c>
      <c r="Q12" t="s">
        <v>111</v>
      </c>
      <c r="R12" t="s">
        <v>129</v>
      </c>
      <c r="S12" t="s">
        <v>57</v>
      </c>
    </row>
    <row r="13" spans="1:19" x14ac:dyDescent="0.25">
      <c r="A13">
        <v>23</v>
      </c>
      <c r="B13" t="s">
        <v>130</v>
      </c>
      <c r="C13" t="s">
        <v>131</v>
      </c>
      <c r="D13" t="s">
        <v>59</v>
      </c>
      <c r="E13" s="6">
        <v>98.48</v>
      </c>
      <c r="F13" s="6">
        <f>ROUND(E13*$B$2, 2)</f>
      </c>
      <c r="G13" s="6">
        <f>E13+F13</f>
      </c>
      <c r="H13" t="s">
        <v>110</v>
      </c>
      <c r="I13" t="s">
        <v>60</v>
      </c>
      <c r="J13" s="6">
        <v>35</v>
      </c>
      <c r="K13" s="6">
        <v>8</v>
      </c>
      <c r="L13" s="6">
        <v>2.85</v>
      </c>
      <c r="M13" s="6">
        <f>IF(COUNT(J13:L13)&gt;0, SUM(J13:L13), "")</f>
      </c>
      <c r="N13" s="6">
        <f>IF(ISNUMBER(M13), M13, G13)</f>
      </c>
      <c r="O13" s="6">
        <f>G13-N13</f>
      </c>
      <c r="P13" t="s">
        <v>31</v>
      </c>
      <c r="Q13" t="s">
        <v>111</v>
      </c>
      <c r="R13" t="s">
        <v>132</v>
      </c>
      <c r="S13" t="s">
        <v>61</v>
      </c>
    </row>
    <row r="14" spans="1:19" x14ac:dyDescent="0.25">
      <c r="A14">
        <v>25</v>
      </c>
      <c r="B14" t="s">
        <v>133</v>
      </c>
      <c r="C14" t="s">
        <v>134</v>
      </c>
      <c r="D14" t="s">
        <v>63</v>
      </c>
      <c r="E14" s="6">
        <v>1049.4</v>
      </c>
      <c r="F14" s="6">
        <f>ROUND(E14*$B$2, 2)</f>
      </c>
      <c r="G14" s="6">
        <f>E14+F14</f>
      </c>
      <c r="H14" t="s">
        <v>110</v>
      </c>
      <c r="I14" t="s">
        <v>64</v>
      </c>
      <c r="J14" s="6">
        <v>425</v>
      </c>
      <c r="K14" s="6">
        <v>120</v>
      </c>
      <c r="L14" s="6">
        <v>36.11</v>
      </c>
      <c r="M14" s="6">
        <f>IF(COUNT(J14:L14)&gt;0, SUM(J14:L14), "")</f>
      </c>
      <c r="N14" s="6">
        <f>IF(ISNUMBER(M14), M14, G14)</f>
      </c>
      <c r="O14" s="6">
        <f>G14-N14</f>
      </c>
      <c r="P14" t="s">
        <v>31</v>
      </c>
      <c r="Q14" t="s">
        <v>111</v>
      </c>
      <c r="R14" t="s">
        <v>135</v>
      </c>
      <c r="S14" t="s">
        <v>65</v>
      </c>
    </row>
    <row r="15" spans="1:19" x14ac:dyDescent="0.25">
      <c r="A15">
        <v>27</v>
      </c>
      <c r="B15" t="s">
        <v>133</v>
      </c>
      <c r="C15" t="s">
        <v>136</v>
      </c>
      <c r="D15" t="s">
        <v>67</v>
      </c>
      <c r="E15" s="6">
        <v>0</v>
      </c>
      <c r="F15" s="6">
        <f>ROUND(E15*$B$2, 2)</f>
      </c>
      <c r="G15" s="6">
        <f>E15+F15</f>
      </c>
      <c r="H15" t="s">
        <v>137</v>
      </c>
      <c r="I15" t="s">
        <v>111</v>
      </c>
      <c r="J15" s="6"/>
      <c r="K15" s="6"/>
      <c r="L15" s="6"/>
      <c r="M15" s="6">
        <f>IF(COUNT(J15:L15)&gt;0, SUM(J15:L15), "")</f>
      </c>
      <c r="N15" s="6">
        <f>IF(ISNUMBER(M15), M15, G15)</f>
      </c>
      <c r="O15" s="6">
        <f>G15-N15</f>
      </c>
      <c r="P15" t="s">
        <v>69</v>
      </c>
      <c r="Q15" t="s">
        <v>111</v>
      </c>
      <c r="R15" t="s">
        <v>111</v>
      </c>
      <c r="S15" t="s">
        <v>70</v>
      </c>
    </row>
    <row r="16" spans="1:19" x14ac:dyDescent="0.25">
      <c r="A16">
        <v>28</v>
      </c>
      <c r="B16" t="s">
        <v>133</v>
      </c>
      <c r="C16" t="s">
        <v>138</v>
      </c>
      <c r="D16" t="s">
        <v>72</v>
      </c>
      <c r="E16" s="6">
        <v>273.01</v>
      </c>
      <c r="F16" s="6">
        <f>ROUND(E16*$B$2, 2)</f>
      </c>
      <c r="G16" s="6">
        <f>E16+F16</f>
      </c>
      <c r="H16" t="s">
        <v>110</v>
      </c>
      <c r="I16" t="s">
        <v>73</v>
      </c>
      <c r="J16" s="6">
        <v>85</v>
      </c>
      <c r="K16" s="6">
        <v>18</v>
      </c>
      <c r="L16" s="6">
        <v>6.82</v>
      </c>
      <c r="M16" s="6">
        <f>IF(COUNT(J16:L16)&gt;0, SUM(J16:L16), "")</f>
      </c>
      <c r="N16" s="6">
        <f>IF(ISNUMBER(M16), M16, G16)</f>
      </c>
      <c r="O16" s="6">
        <f>G16-N16</f>
      </c>
      <c r="P16" t="s">
        <v>31</v>
      </c>
      <c r="Q16" t="s">
        <v>111</v>
      </c>
      <c r="R16" t="s">
        <v>139</v>
      </c>
      <c r="S16" t="s">
        <v>74</v>
      </c>
    </row>
    <row r="17" spans="1:19" x14ac:dyDescent="0.25">
      <c r="A17">
        <v>29</v>
      </c>
      <c r="B17" t="s">
        <v>133</v>
      </c>
      <c r="C17" t="s">
        <v>140</v>
      </c>
      <c r="D17" t="s">
        <v>76</v>
      </c>
      <c r="E17" s="6">
        <v>594.64</v>
      </c>
      <c r="F17" s="6">
        <f>ROUND(E17*$B$2, 2)</f>
      </c>
      <c r="G17" s="6">
        <f>E17+F17</f>
      </c>
      <c r="H17" t="s">
        <v>110</v>
      </c>
      <c r="I17" t="s">
        <v>77</v>
      </c>
      <c r="J17" s="6">
        <v>210</v>
      </c>
      <c r="K17" s="6">
        <v>45</v>
      </c>
      <c r="L17" s="6">
        <v>16.89</v>
      </c>
      <c r="M17" s="6">
        <f>IF(COUNT(J17:L17)&gt;0, SUM(J17:L17), "")</f>
      </c>
      <c r="N17" s="6">
        <f>IF(ISNUMBER(M17), M17, G17)</f>
      </c>
      <c r="O17" s="6">
        <f>G17-N17</f>
      </c>
      <c r="P17" t="s">
        <v>31</v>
      </c>
      <c r="Q17" t="s">
        <v>111</v>
      </c>
      <c r="R17" t="s">
        <v>141</v>
      </c>
      <c r="S17" t="s">
        <v>78</v>
      </c>
    </row>
    <row r="18" spans="1:19" x14ac:dyDescent="0.25">
      <c r="A18">
        <v>36</v>
      </c>
      <c r="B18" t="s">
        <v>142</v>
      </c>
      <c r="C18" t="s">
        <v>143</v>
      </c>
      <c r="D18" t="s">
        <v>80</v>
      </c>
      <c r="E18" s="6">
        <v>450</v>
      </c>
      <c r="F18" s="6">
        <f>ROUND(E18*$B$2, 2)</f>
      </c>
      <c r="G18" s="6">
        <f>E18+F18</f>
      </c>
      <c r="H18" t="s">
        <v>144</v>
      </c>
      <c r="I18" t="s">
        <v>145</v>
      </c>
      <c r="J18" s="6">
        <v>195</v>
      </c>
      <c r="K18" s="6">
        <v>0</v>
      </c>
      <c r="L18" s="6">
        <v>12.92</v>
      </c>
      <c r="M18" s="6">
        <f>IF(COUNT(J18:L18)&gt;0, SUM(J18:L18), "")</f>
      </c>
      <c r="N18" s="6">
        <f>IF(ISNUMBER(M18), M18, G18)</f>
      </c>
      <c r="O18" s="6">
        <f>G18-N18</f>
      </c>
      <c r="P18" t="s">
        <v>31</v>
      </c>
      <c r="Q18" t="s">
        <v>111</v>
      </c>
      <c r="R18" t="s">
        <v>146</v>
      </c>
      <c r="S18" t="s">
        <v>82</v>
      </c>
    </row>
    <row r="19" spans="1:19" x14ac:dyDescent="0.25">
      <c r="A19">
        <v>37</v>
      </c>
      <c r="B19" t="s">
        <v>142</v>
      </c>
      <c r="C19" t="s">
        <v>147</v>
      </c>
      <c r="D19" t="s">
        <v>80</v>
      </c>
      <c r="E19" s="6">
        <v>450</v>
      </c>
      <c r="F19" s="6">
        <f>ROUND(E19*$B$2, 2)</f>
      </c>
      <c r="G19" s="6">
        <f>E19+F19</f>
      </c>
      <c r="H19" t="s">
        <v>144</v>
      </c>
      <c r="I19" t="s">
        <v>145</v>
      </c>
      <c r="J19" s="6">
        <v>195</v>
      </c>
      <c r="K19" s="6">
        <v>0</v>
      </c>
      <c r="L19" s="6">
        <v>12.92</v>
      </c>
      <c r="M19" s="6">
        <f>IF(COUNT(J19:L19)&gt;0, SUM(J19:L19), "")</f>
      </c>
      <c r="N19" s="6">
        <f>IF(ISNUMBER(M19), M19, G19)</f>
      </c>
      <c r="O19" s="6">
        <f>G19-N19</f>
      </c>
      <c r="P19" t="s">
        <v>31</v>
      </c>
      <c r="Q19" t="s">
        <v>111</v>
      </c>
      <c r="R19" t="s">
        <v>146</v>
      </c>
      <c r="S19" t="s">
        <v>82</v>
      </c>
    </row>
    <row r="20" spans="1:19" x14ac:dyDescent="0.25">
      <c r="A20">
        <v>38</v>
      </c>
      <c r="B20" t="s">
        <v>142</v>
      </c>
      <c r="C20" t="s">
        <v>148</v>
      </c>
      <c r="D20" t="s">
        <v>85</v>
      </c>
      <c r="E20" s="6">
        <v>50</v>
      </c>
      <c r="F20" s="6">
        <f>ROUND(E20*$B$2, 2)</f>
      </c>
      <c r="G20" s="6">
        <f>E20+F20</f>
      </c>
      <c r="H20" t="s">
        <v>137</v>
      </c>
      <c r="I20" t="s">
        <v>111</v>
      </c>
      <c r="J20" s="6"/>
      <c r="K20" s="6"/>
      <c r="L20" s="6"/>
      <c r="M20" s="6">
        <f>IF(COUNT(J20:L20)&gt;0, SUM(J20:L20), "")</f>
      </c>
      <c r="N20" s="6">
        <f>IF(ISNUMBER(M20), M20, G20)</f>
      </c>
      <c r="O20" s="6">
        <f>G20-N20</f>
      </c>
      <c r="P20" t="s">
        <v>69</v>
      </c>
      <c r="Q20" t="s">
        <v>111</v>
      </c>
      <c r="R20" t="s">
        <v>111</v>
      </c>
      <c r="S20" t="s">
        <v>86</v>
      </c>
    </row>
    <row r="21" ht="22" customHeight="1" spans="1:19" s="2" customFormat="1" x14ac:dyDescent="0.25">
      <c r="A21" s="18" t="s">
        <v>111</v>
      </c>
      <c r="B21" s="18" t="s">
        <v>111</v>
      </c>
      <c r="C21" s="18" t="s">
        <v>149</v>
      </c>
      <c r="D21" s="18" t="s">
        <v>111</v>
      </c>
      <c r="E21" s="19">
        <f>SUM(E5:E20)</f>
      </c>
      <c r="F21" s="19">
        <f>SUM(F5:F20)</f>
      </c>
      <c r="G21" s="19">
        <f>SUM(G5:G20)</f>
      </c>
      <c r="H21" s="18" t="s">
        <v>111</v>
      </c>
      <c r="I21" s="18" t="s">
        <v>111</v>
      </c>
      <c r="J21" s="19">
        <f>SUM(J5:J20)</f>
      </c>
      <c r="K21" s="19">
        <f>SUM(K5:K20)</f>
      </c>
      <c r="L21" s="19">
        <f>SUM(L5:L20)</f>
      </c>
      <c r="M21" s="19">
        <f>SUM(M5:M20)</f>
      </c>
      <c r="N21" s="19">
        <f>SUM(N5:N20)</f>
      </c>
      <c r="O21" s="19">
        <f>SUM(O5:O20)</f>
      </c>
      <c r="P21" s="18" t="s">
        <v>111</v>
      </c>
      <c r="Q21" s="18" t="s">
        <v>111</v>
      </c>
      <c r="R21" s="18" t="s">
        <v>111</v>
      </c>
      <c r="S21" s="18" t="s">
        <v>111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32" customWidth="1"/>
    <col min="4" max="11" width="16" customWidth="1"/>
    <col min="12" max="12" width="28" customWidth="1"/>
  </cols>
  <sheetData>
    <row r="1" ht="24" customHeight="1" spans="1:12" x14ac:dyDescent="0.25">
      <c r="A1" s="15" t="s">
        <v>150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" x14ac:dyDescent="0.25">
      <c r="A2" t="s">
        <v>151</v>
      </c>
    </row>
    <row r="3" ht="26" customHeight="1" spans="1:12" s="4" customFormat="1" x14ac:dyDescent="0.25">
      <c r="A3" s="20" t="s">
        <v>152</v>
      </c>
      <c r="B3" s="20" t="s">
        <v>90</v>
      </c>
      <c r="C3" s="20" t="s">
        <v>153</v>
      </c>
      <c r="D3" s="20" t="s">
        <v>154</v>
      </c>
      <c r="E3" s="20" t="s">
        <v>155</v>
      </c>
      <c r="F3" s="20" t="s">
        <v>156</v>
      </c>
      <c r="G3" s="20" t="s">
        <v>157</v>
      </c>
      <c r="H3" s="20" t="s">
        <v>158</v>
      </c>
      <c r="I3" s="20" t="s">
        <v>159</v>
      </c>
      <c r="J3" s="20" t="s">
        <v>160</v>
      </c>
      <c r="K3" s="20" t="s">
        <v>161</v>
      </c>
      <c r="L3" s="20" t="s">
        <v>162</v>
      </c>
    </row>
    <row r="4" spans="1:12" x14ac:dyDescent="0.25">
      <c r="A4" t="s">
        <v>163</v>
      </c>
      <c r="B4">
        <v>16</v>
      </c>
      <c r="C4" t="s">
        <v>118</v>
      </c>
      <c r="D4" s="6">
        <v>204.93</v>
      </c>
      <c r="E4" s="6">
        <f>SUM($D$4:$D$7)</f>
      </c>
      <c r="F4" s="21">
        <f>IF(E4&gt;0, D4/E4, 0)</f>
      </c>
      <c r="G4" s="6">
        <v>522.46</v>
      </c>
      <c r="H4" s="6">
        <f>ROUND(425*F4, 2)</f>
      </c>
      <c r="I4" s="6">
        <f>ROUND(65*F4, 2)</f>
      </c>
      <c r="J4" s="6">
        <f>ROUND(32.46*F4, 2)</f>
      </c>
      <c r="K4" s="6">
        <f>ROUND(G4*F4, 2)</f>
      </c>
      <c r="L4" s="6">
        <f>ROUND(D4*(1+0.06625), 2)-K4</f>
      </c>
    </row>
    <row r="5" spans="1:12" x14ac:dyDescent="0.25">
      <c r="A5" t="s">
        <v>163</v>
      </c>
      <c r="B5">
        <v>17</v>
      </c>
      <c r="C5" t="s">
        <v>122</v>
      </c>
      <c r="D5" s="6">
        <v>156.06</v>
      </c>
      <c r="E5" s="6">
        <f>SUM($D$4:$D$7)</f>
      </c>
      <c r="F5" s="21">
        <f>IF(E5&gt;0, D5/E5, 0)</f>
      </c>
      <c r="G5" s="6">
        <v>522.46</v>
      </c>
      <c r="H5" s="6">
        <f>ROUND(425*F5, 2)</f>
      </c>
      <c r="I5" s="6">
        <f>ROUND(65*F5, 2)</f>
      </c>
      <c r="J5" s="6">
        <f>ROUND(32.46*F5, 2)</f>
      </c>
      <c r="K5" s="6">
        <f>ROUND(G5*F5, 2)</f>
      </c>
      <c r="L5" s="6">
        <f>ROUND(D5*(1+0.06625), 2)-K5</f>
      </c>
    </row>
    <row r="6" spans="1:12" x14ac:dyDescent="0.25">
      <c r="A6" t="s">
        <v>163</v>
      </c>
      <c r="B6">
        <v>18</v>
      </c>
      <c r="C6" t="s">
        <v>124</v>
      </c>
      <c r="D6" s="6">
        <v>211.73</v>
      </c>
      <c r="E6" s="6">
        <f>SUM($D$4:$D$7)</f>
      </c>
      <c r="F6" s="21">
        <f>IF(E6&gt;0, D6/E6, 0)</f>
      </c>
      <c r="G6" s="6">
        <v>522.46</v>
      </c>
      <c r="H6" s="6">
        <f>ROUND(425*F6, 2)</f>
      </c>
      <c r="I6" s="6">
        <f>ROUND(65*F6, 2)</f>
      </c>
      <c r="J6" s="6">
        <f>ROUND(32.46*F6, 2)</f>
      </c>
      <c r="K6" s="6">
        <f>ROUND(G6*F6, 2)</f>
      </c>
      <c r="L6" s="6">
        <f>ROUND(D6*(1+0.06625), 2)-K6</f>
      </c>
    </row>
    <row r="7" spans="1:12" x14ac:dyDescent="0.25">
      <c r="A7" t="s">
        <v>163</v>
      </c>
      <c r="B7">
        <v>19</v>
      </c>
      <c r="C7" t="s">
        <v>126</v>
      </c>
      <c r="D7" s="6">
        <v>887.11</v>
      </c>
      <c r="E7" s="6">
        <f>SUM($D$4:$D$7)</f>
      </c>
      <c r="F7" s="21">
        <f>IF(E7&gt;0, D7/E7, 0)</f>
      </c>
      <c r="G7" s="6">
        <v>522.46</v>
      </c>
      <c r="H7" s="6">
        <f>ROUND(425*F7, 2)</f>
      </c>
      <c r="I7" s="6">
        <f>ROUND(65*F7, 2)</f>
      </c>
      <c r="J7" s="6">
        <f>ROUND(32.46*F7, 2)</f>
      </c>
      <c r="K7" s="6">
        <f>ROUND(G7*F7, 2)</f>
      </c>
      <c r="L7" s="6">
        <f>ROUND(D7*(1+0.06625), 2)-K7</f>
      </c>
    </row>
    <row r="9" spans="1:12" x14ac:dyDescent="0.25">
      <c r="A9" t="s">
        <v>164</v>
      </c>
      <c r="B9">
        <v>36</v>
      </c>
      <c r="C9" t="s">
        <v>143</v>
      </c>
      <c r="D9" s="6">
        <v>450</v>
      </c>
      <c r="E9" s="6">
        <f>SUM($D$9:$D$10)</f>
      </c>
      <c r="F9" s="21">
        <f>IF(E9&gt;0, D9/E9, 0)</f>
      </c>
      <c r="G9" s="6">
        <v>415.84</v>
      </c>
      <c r="H9" s="6">
        <f>ROUND(390*F9, 2)</f>
      </c>
      <c r="I9" s="6">
        <f>ROUND(0*F9, 2)</f>
      </c>
      <c r="J9" s="6">
        <f>ROUND(25.84*F9, 2)</f>
      </c>
      <c r="K9" s="6">
        <f>ROUND(G9*F9, 2)</f>
      </c>
      <c r="L9" s="6">
        <f>ROUND(D9*(1+0.06625), 2)-K9</f>
      </c>
    </row>
    <row r="10" spans="1:12" x14ac:dyDescent="0.25">
      <c r="A10" t="s">
        <v>164</v>
      </c>
      <c r="B10">
        <v>37</v>
      </c>
      <c r="C10" t="s">
        <v>147</v>
      </c>
      <c r="D10" s="6">
        <v>450</v>
      </c>
      <c r="E10" s="6">
        <f>SUM($D$9:$D$10)</f>
      </c>
      <c r="F10" s="21">
        <f>IF(E10&gt;0, D10/E10, 0)</f>
      </c>
      <c r="G10" s="6">
        <v>415.84</v>
      </c>
      <c r="H10" s="6">
        <f>ROUND(390*F10, 2)</f>
      </c>
      <c r="I10" s="6">
        <f>ROUND(0*F10, 2)</f>
      </c>
      <c r="J10" s="6">
        <f>ROUND(25.84*F10, 2)</f>
      </c>
      <c r="K10" s="6">
        <f>ROUND(G10*F10, 2)</f>
      </c>
      <c r="L10" s="6">
        <f>ROUND(D10*(1+0.06625), 2)-K10</f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FormatPr defaultRowHeight="15" outlineLevelRow="0" outlineLevelCol="0" x14ac:dyDescent="55"/>
  <cols>
    <col min="2" max="2" width="12" customWidth="1"/>
    <col min="3" max="3" width="24" customWidth="1"/>
    <col min="4" max="4" width="34" customWidth="1"/>
    <col min="5" max="5" width="20" customWidth="1"/>
    <col min="6" max="6" width="14" customWidth="1"/>
    <col min="7" max="8" width="12" customWidth="1"/>
    <col min="9" max="9" width="16" customWidth="1"/>
    <col min="10" max="10" width="8" customWidth="1"/>
    <col min="11" max="11" width="16" customWidth="1"/>
    <col min="12" max="12" width="10" customWidth="1"/>
    <col min="13" max="13" width="42" customWidth="1"/>
  </cols>
  <sheetData>
    <row r="1" spans="1:13" s="4" customFormat="1" x14ac:dyDescent="0.25">
      <c r="A1" s="22" t="s">
        <v>90</v>
      </c>
      <c r="B1" s="22" t="s">
        <v>165</v>
      </c>
      <c r="C1" s="22" t="s">
        <v>166</v>
      </c>
      <c r="D1" s="22" t="s">
        <v>167</v>
      </c>
      <c r="E1" s="22" t="s">
        <v>168</v>
      </c>
      <c r="F1" s="22" t="s">
        <v>169</v>
      </c>
      <c r="G1" s="22" t="s">
        <v>170</v>
      </c>
      <c r="H1" s="22" t="s">
        <v>171</v>
      </c>
      <c r="I1" s="22" t="s">
        <v>24</v>
      </c>
      <c r="J1" s="22" t="s">
        <v>172</v>
      </c>
      <c r="K1" s="22" t="s">
        <v>173</v>
      </c>
      <c r="L1" s="22" t="s">
        <v>174</v>
      </c>
      <c r="M1" s="22" t="s">
        <v>107</v>
      </c>
    </row>
    <row r="2" spans="1:13" x14ac:dyDescent="0.25">
      <c r="A2">
        <v>1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>
        <v>4</v>
      </c>
      <c r="H2" t="s">
        <v>180</v>
      </c>
      <c r="I2" t="s">
        <v>111</v>
      </c>
      <c r="J2" t="s">
        <v>111</v>
      </c>
      <c r="K2" s="6" t="s">
        <v>111</v>
      </c>
      <c r="L2" t="s">
        <v>181</v>
      </c>
      <c r="M2" t="s">
        <v>182</v>
      </c>
    </row>
    <row r="3" spans="1:13" x14ac:dyDescent="0.25">
      <c r="A3">
        <v>2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>
        <v>0.9</v>
      </c>
      <c r="H3" t="s">
        <v>180</v>
      </c>
      <c r="I3" t="s">
        <v>111</v>
      </c>
      <c r="J3" t="s">
        <v>111</v>
      </c>
      <c r="K3" s="6" t="s">
        <v>111</v>
      </c>
      <c r="L3" t="s">
        <v>181</v>
      </c>
      <c r="M3" t="s">
        <v>188</v>
      </c>
    </row>
    <row r="4" spans="1:13" x14ac:dyDescent="0.25">
      <c r="A4">
        <v>3</v>
      </c>
      <c r="B4" t="s">
        <v>189</v>
      </c>
      <c r="C4" t="s">
        <v>184</v>
      </c>
      <c r="D4" t="s">
        <v>190</v>
      </c>
      <c r="E4" t="s">
        <v>191</v>
      </c>
      <c r="F4" t="s">
        <v>179</v>
      </c>
      <c r="G4">
        <v>1</v>
      </c>
      <c r="H4" t="s">
        <v>180</v>
      </c>
      <c r="I4" t="s">
        <v>111</v>
      </c>
      <c r="J4" t="s">
        <v>111</v>
      </c>
      <c r="K4" s="6" t="s">
        <v>111</v>
      </c>
      <c r="L4" t="s">
        <v>181</v>
      </c>
      <c r="M4" t="s">
        <v>111</v>
      </c>
    </row>
    <row r="5" spans="1:13" x14ac:dyDescent="0.25">
      <c r="A5">
        <v>4</v>
      </c>
      <c r="B5" t="s">
        <v>192</v>
      </c>
      <c r="C5" t="s">
        <v>184</v>
      </c>
      <c r="D5" t="s">
        <v>193</v>
      </c>
      <c r="E5" t="s">
        <v>191</v>
      </c>
      <c r="F5" t="s">
        <v>179</v>
      </c>
      <c r="G5">
        <v>0.3</v>
      </c>
      <c r="H5" t="s">
        <v>180</v>
      </c>
      <c r="I5" t="s">
        <v>111</v>
      </c>
      <c r="J5" t="s">
        <v>111</v>
      </c>
      <c r="K5" s="6" t="s">
        <v>111</v>
      </c>
      <c r="L5" t="s">
        <v>181</v>
      </c>
      <c r="M5" t="s">
        <v>111</v>
      </c>
    </row>
    <row r="6" spans="1:13" x14ac:dyDescent="0.25">
      <c r="A6">
        <v>5</v>
      </c>
      <c r="B6" t="s">
        <v>194</v>
      </c>
      <c r="C6" t="s">
        <v>184</v>
      </c>
      <c r="D6" t="s">
        <v>195</v>
      </c>
      <c r="E6" t="s">
        <v>191</v>
      </c>
      <c r="F6" t="s">
        <v>179</v>
      </c>
      <c r="G6">
        <v>0.3</v>
      </c>
      <c r="H6" t="s">
        <v>180</v>
      </c>
      <c r="I6" t="s">
        <v>111</v>
      </c>
      <c r="J6" t="s">
        <v>111</v>
      </c>
      <c r="K6" s="6" t="s">
        <v>111</v>
      </c>
      <c r="L6" t="s">
        <v>181</v>
      </c>
      <c r="M6" t="s">
        <v>111</v>
      </c>
    </row>
    <row r="7" spans="1:13" x14ac:dyDescent="0.25">
      <c r="A7">
        <v>6</v>
      </c>
      <c r="B7" t="s">
        <v>196</v>
      </c>
      <c r="C7" t="s">
        <v>108</v>
      </c>
      <c r="D7" t="s">
        <v>109</v>
      </c>
      <c r="E7" t="s">
        <v>197</v>
      </c>
      <c r="F7" t="s">
        <v>179</v>
      </c>
      <c r="G7">
        <v>2.5</v>
      </c>
      <c r="H7" t="s">
        <v>198</v>
      </c>
      <c r="I7" t="s">
        <v>29</v>
      </c>
      <c r="J7">
        <v>1</v>
      </c>
      <c r="K7" s="6">
        <v>1452.39</v>
      </c>
      <c r="L7" t="s">
        <v>199</v>
      </c>
      <c r="M7" t="s">
        <v>32</v>
      </c>
    </row>
    <row r="8" spans="1:13" x14ac:dyDescent="0.25">
      <c r="A8">
        <v>7</v>
      </c>
      <c r="B8" t="s">
        <v>200</v>
      </c>
      <c r="C8" t="s">
        <v>108</v>
      </c>
      <c r="D8" t="s">
        <v>201</v>
      </c>
      <c r="E8" t="s">
        <v>202</v>
      </c>
      <c r="F8" t="s">
        <v>187</v>
      </c>
      <c r="G8">
        <v>2.2</v>
      </c>
      <c r="H8" t="s">
        <v>111</v>
      </c>
      <c r="I8" t="s">
        <v>111</v>
      </c>
      <c r="J8" t="s">
        <v>111</v>
      </c>
      <c r="K8" s="6" t="s">
        <v>111</v>
      </c>
      <c r="L8" t="s">
        <v>181</v>
      </c>
      <c r="M8" t="s">
        <v>203</v>
      </c>
    </row>
    <row r="9" spans="1:13" x14ac:dyDescent="0.25">
      <c r="A9">
        <v>8</v>
      </c>
      <c r="B9" t="s">
        <v>200</v>
      </c>
      <c r="C9" t="s">
        <v>108</v>
      </c>
      <c r="D9" t="s">
        <v>204</v>
      </c>
      <c r="E9" t="s">
        <v>202</v>
      </c>
      <c r="F9" t="s">
        <v>187</v>
      </c>
      <c r="G9">
        <v>0.5</v>
      </c>
      <c r="H9" t="s">
        <v>111</v>
      </c>
      <c r="I9" t="s">
        <v>111</v>
      </c>
      <c r="J9" t="s">
        <v>111</v>
      </c>
      <c r="K9" s="6" t="s">
        <v>111</v>
      </c>
      <c r="L9" t="s">
        <v>181</v>
      </c>
      <c r="M9" t="s">
        <v>203</v>
      </c>
    </row>
    <row r="10" spans="1:13" x14ac:dyDescent="0.25">
      <c r="A10">
        <v>9</v>
      </c>
      <c r="B10" t="s">
        <v>200</v>
      </c>
      <c r="C10" t="s">
        <v>108</v>
      </c>
      <c r="D10" t="s">
        <v>205</v>
      </c>
      <c r="E10" t="s">
        <v>191</v>
      </c>
      <c r="F10" t="s">
        <v>179</v>
      </c>
      <c r="G10">
        <v>0</v>
      </c>
      <c r="H10" t="s">
        <v>111</v>
      </c>
      <c r="I10" t="s">
        <v>111</v>
      </c>
      <c r="J10" t="s">
        <v>111</v>
      </c>
      <c r="K10" s="6" t="s">
        <v>111</v>
      </c>
      <c r="L10" t="s">
        <v>181</v>
      </c>
      <c r="M10" t="s">
        <v>206</v>
      </c>
    </row>
    <row r="11" spans="1:13" x14ac:dyDescent="0.25">
      <c r="A11">
        <v>10</v>
      </c>
      <c r="B11" t="s">
        <v>207</v>
      </c>
      <c r="C11" t="s">
        <v>108</v>
      </c>
      <c r="D11" t="s">
        <v>113</v>
      </c>
      <c r="E11" t="s">
        <v>197</v>
      </c>
      <c r="F11" t="s">
        <v>179</v>
      </c>
      <c r="G11">
        <v>0</v>
      </c>
      <c r="H11" t="s">
        <v>198</v>
      </c>
      <c r="I11" t="s">
        <v>34</v>
      </c>
      <c r="J11">
        <v>1</v>
      </c>
      <c r="K11" s="6">
        <v>97.96</v>
      </c>
      <c r="L11" t="s">
        <v>199</v>
      </c>
      <c r="M11" t="s">
        <v>36</v>
      </c>
    </row>
    <row r="12" spans="1:13" x14ac:dyDescent="0.25">
      <c r="A12">
        <v>11</v>
      </c>
      <c r="B12" t="s">
        <v>208</v>
      </c>
      <c r="C12" t="s">
        <v>108</v>
      </c>
      <c r="D12" t="s">
        <v>115</v>
      </c>
      <c r="E12" t="s">
        <v>197</v>
      </c>
      <c r="F12" t="s">
        <v>209</v>
      </c>
      <c r="G12">
        <v>0.7</v>
      </c>
      <c r="H12" t="s">
        <v>198</v>
      </c>
      <c r="I12" t="s">
        <v>38</v>
      </c>
      <c r="J12">
        <v>1</v>
      </c>
      <c r="K12" s="6">
        <v>581.12</v>
      </c>
      <c r="L12" t="s">
        <v>199</v>
      </c>
      <c r="M12" t="s">
        <v>40</v>
      </c>
    </row>
    <row r="13" spans="1:13" x14ac:dyDescent="0.25">
      <c r="A13">
        <v>12</v>
      </c>
      <c r="B13" t="s">
        <v>210</v>
      </c>
      <c r="C13" t="s">
        <v>211</v>
      </c>
      <c r="D13" t="s">
        <v>212</v>
      </c>
      <c r="E13" t="s">
        <v>178</v>
      </c>
      <c r="F13" t="s">
        <v>179</v>
      </c>
      <c r="G13">
        <v>2</v>
      </c>
      <c r="H13" t="s">
        <v>180</v>
      </c>
      <c r="I13" t="s">
        <v>111</v>
      </c>
      <c r="J13" t="s">
        <v>111</v>
      </c>
      <c r="K13" s="6" t="s">
        <v>111</v>
      </c>
      <c r="L13" t="s">
        <v>181</v>
      </c>
      <c r="M13" t="s">
        <v>111</v>
      </c>
    </row>
    <row r="14" spans="1:13" x14ac:dyDescent="0.25">
      <c r="A14">
        <v>13</v>
      </c>
      <c r="B14" t="s">
        <v>200</v>
      </c>
      <c r="C14" t="s">
        <v>211</v>
      </c>
      <c r="D14" t="s">
        <v>213</v>
      </c>
      <c r="E14" t="s">
        <v>202</v>
      </c>
      <c r="F14" t="s">
        <v>187</v>
      </c>
      <c r="G14">
        <v>1.8</v>
      </c>
      <c r="H14" t="s">
        <v>180</v>
      </c>
      <c r="I14" t="s">
        <v>111</v>
      </c>
      <c r="J14" t="s">
        <v>111</v>
      </c>
      <c r="K14" s="6" t="s">
        <v>111</v>
      </c>
      <c r="L14" t="s">
        <v>181</v>
      </c>
      <c r="M14" t="s">
        <v>111</v>
      </c>
    </row>
    <row r="15" spans="1:13" x14ac:dyDescent="0.25">
      <c r="A15">
        <v>14</v>
      </c>
      <c r="B15" t="s">
        <v>200</v>
      </c>
      <c r="C15" t="s">
        <v>117</v>
      </c>
      <c r="D15" t="s">
        <v>214</v>
      </c>
      <c r="E15" t="s">
        <v>215</v>
      </c>
      <c r="F15" t="s">
        <v>209</v>
      </c>
      <c r="G15">
        <v>5</v>
      </c>
      <c r="H15" t="s">
        <v>180</v>
      </c>
      <c r="I15" t="s">
        <v>111</v>
      </c>
      <c r="J15" t="s">
        <v>111</v>
      </c>
      <c r="K15" s="6" t="s">
        <v>111</v>
      </c>
      <c r="L15" t="s">
        <v>181</v>
      </c>
      <c r="M15" t="s">
        <v>216</v>
      </c>
    </row>
    <row r="16" spans="1:13" x14ac:dyDescent="0.25">
      <c r="A16">
        <v>15</v>
      </c>
      <c r="B16" t="s">
        <v>200</v>
      </c>
      <c r="C16" t="s">
        <v>117</v>
      </c>
      <c r="D16" t="s">
        <v>217</v>
      </c>
      <c r="E16" t="s">
        <v>111</v>
      </c>
      <c r="F16" t="s">
        <v>111</v>
      </c>
      <c r="G16">
        <v>0</v>
      </c>
      <c r="H16" t="s">
        <v>111</v>
      </c>
      <c r="I16" t="s">
        <v>111</v>
      </c>
      <c r="J16" t="s">
        <v>111</v>
      </c>
      <c r="K16" s="6" t="s">
        <v>111</v>
      </c>
      <c r="L16" t="s">
        <v>181</v>
      </c>
      <c r="M16" t="s">
        <v>218</v>
      </c>
    </row>
    <row r="17" spans="1:13" x14ac:dyDescent="0.25">
      <c r="A17">
        <v>16</v>
      </c>
      <c r="B17" t="s">
        <v>219</v>
      </c>
      <c r="C17" t="s">
        <v>117</v>
      </c>
      <c r="D17" t="s">
        <v>118</v>
      </c>
      <c r="E17" t="s">
        <v>197</v>
      </c>
      <c r="F17" t="s">
        <v>209</v>
      </c>
      <c r="G17">
        <v>0</v>
      </c>
      <c r="H17" t="s">
        <v>198</v>
      </c>
      <c r="I17" t="s">
        <v>42</v>
      </c>
      <c r="J17">
        <v>1</v>
      </c>
      <c r="K17" s="6">
        <v>204.93</v>
      </c>
      <c r="L17" t="s">
        <v>199</v>
      </c>
      <c r="M17" t="s">
        <v>44</v>
      </c>
    </row>
    <row r="18" spans="1:13" x14ac:dyDescent="0.25">
      <c r="A18">
        <v>17</v>
      </c>
      <c r="B18" t="s">
        <v>220</v>
      </c>
      <c r="C18" t="s">
        <v>117</v>
      </c>
      <c r="D18" t="s">
        <v>122</v>
      </c>
      <c r="E18" t="s">
        <v>197</v>
      </c>
      <c r="F18" t="s">
        <v>209</v>
      </c>
      <c r="G18">
        <v>0</v>
      </c>
      <c r="H18" t="s">
        <v>198</v>
      </c>
      <c r="I18" t="s">
        <v>46</v>
      </c>
      <c r="J18">
        <v>1</v>
      </c>
      <c r="K18" s="6">
        <v>156.06</v>
      </c>
      <c r="L18" t="s">
        <v>199</v>
      </c>
      <c r="M18" t="s">
        <v>47</v>
      </c>
    </row>
    <row r="19" spans="1:13" x14ac:dyDescent="0.25">
      <c r="A19">
        <v>18</v>
      </c>
      <c r="B19" t="s">
        <v>221</v>
      </c>
      <c r="C19" t="s">
        <v>117</v>
      </c>
      <c r="D19" t="s">
        <v>124</v>
      </c>
      <c r="E19" t="s">
        <v>197</v>
      </c>
      <c r="F19" t="s">
        <v>209</v>
      </c>
      <c r="G19">
        <v>0</v>
      </c>
      <c r="H19" t="s">
        <v>198</v>
      </c>
      <c r="I19" t="s">
        <v>49</v>
      </c>
      <c r="J19">
        <v>1</v>
      </c>
      <c r="K19" s="6">
        <v>211.73</v>
      </c>
      <c r="L19" t="s">
        <v>199</v>
      </c>
      <c r="M19" t="s">
        <v>50</v>
      </c>
    </row>
    <row r="20" spans="1:13" x14ac:dyDescent="0.25">
      <c r="A20">
        <v>19</v>
      </c>
      <c r="B20" t="s">
        <v>222</v>
      </c>
      <c r="C20" t="s">
        <v>117</v>
      </c>
      <c r="D20" t="s">
        <v>126</v>
      </c>
      <c r="E20" t="s">
        <v>197</v>
      </c>
      <c r="F20" t="s">
        <v>209</v>
      </c>
      <c r="G20">
        <v>0</v>
      </c>
      <c r="H20" t="s">
        <v>198</v>
      </c>
      <c r="I20" t="s">
        <v>52</v>
      </c>
      <c r="J20">
        <v>1</v>
      </c>
      <c r="K20" s="6">
        <v>887.11</v>
      </c>
      <c r="L20" t="s">
        <v>199</v>
      </c>
      <c r="M20" t="s">
        <v>53</v>
      </c>
    </row>
    <row r="21" spans="1:13" x14ac:dyDescent="0.25">
      <c r="A21">
        <v>20</v>
      </c>
      <c r="B21" t="s">
        <v>223</v>
      </c>
      <c r="C21" t="s">
        <v>117</v>
      </c>
      <c r="D21" t="s">
        <v>128</v>
      </c>
      <c r="E21" t="s">
        <v>197</v>
      </c>
      <c r="F21" t="s">
        <v>209</v>
      </c>
      <c r="G21">
        <v>4.8</v>
      </c>
      <c r="H21" t="s">
        <v>198</v>
      </c>
      <c r="I21" t="s">
        <v>55</v>
      </c>
      <c r="J21">
        <v>1</v>
      </c>
      <c r="K21" s="6">
        <v>431.65</v>
      </c>
      <c r="L21" t="s">
        <v>199</v>
      </c>
      <c r="M21" t="s">
        <v>57</v>
      </c>
    </row>
    <row r="22" spans="1:13" x14ac:dyDescent="0.25">
      <c r="A22">
        <v>21</v>
      </c>
      <c r="B22" t="s">
        <v>224</v>
      </c>
      <c r="C22" t="s">
        <v>225</v>
      </c>
      <c r="D22" t="s">
        <v>226</v>
      </c>
      <c r="E22" t="s">
        <v>178</v>
      </c>
      <c r="F22" t="s">
        <v>179</v>
      </c>
      <c r="G22">
        <v>10</v>
      </c>
      <c r="H22" t="s">
        <v>180</v>
      </c>
      <c r="I22" t="s">
        <v>111</v>
      </c>
      <c r="J22" t="s">
        <v>111</v>
      </c>
      <c r="K22" s="6" t="s">
        <v>111</v>
      </c>
      <c r="L22" t="s">
        <v>181</v>
      </c>
      <c r="M22" t="s">
        <v>111</v>
      </c>
    </row>
    <row r="23" spans="1:13" x14ac:dyDescent="0.25">
      <c r="A23">
        <v>22</v>
      </c>
      <c r="B23" t="s">
        <v>200</v>
      </c>
      <c r="C23" t="s">
        <v>225</v>
      </c>
      <c r="D23" t="s">
        <v>227</v>
      </c>
      <c r="E23" t="s">
        <v>202</v>
      </c>
      <c r="F23" t="s">
        <v>187</v>
      </c>
      <c r="G23">
        <v>2</v>
      </c>
      <c r="H23" t="s">
        <v>180</v>
      </c>
      <c r="I23" t="s">
        <v>111</v>
      </c>
      <c r="J23" t="s">
        <v>111</v>
      </c>
      <c r="K23" s="6" t="s">
        <v>111</v>
      </c>
      <c r="L23" t="s">
        <v>181</v>
      </c>
      <c r="M23" t="s">
        <v>111</v>
      </c>
    </row>
    <row r="24" spans="1:13" x14ac:dyDescent="0.25">
      <c r="A24">
        <v>23</v>
      </c>
      <c r="B24" t="s">
        <v>228</v>
      </c>
      <c r="C24" t="s">
        <v>130</v>
      </c>
      <c r="D24" t="s">
        <v>131</v>
      </c>
      <c r="E24" t="s">
        <v>197</v>
      </c>
      <c r="F24" t="s">
        <v>179</v>
      </c>
      <c r="G24">
        <v>0</v>
      </c>
      <c r="H24" t="s">
        <v>198</v>
      </c>
      <c r="I24" t="s">
        <v>59</v>
      </c>
      <c r="J24">
        <v>1</v>
      </c>
      <c r="K24" s="6">
        <v>98.48</v>
      </c>
      <c r="L24" t="s">
        <v>199</v>
      </c>
      <c r="M24" t="s">
        <v>61</v>
      </c>
    </row>
    <row r="25" spans="1:13" x14ac:dyDescent="0.25">
      <c r="A25">
        <v>24</v>
      </c>
      <c r="B25" t="s">
        <v>200</v>
      </c>
      <c r="C25" t="s">
        <v>133</v>
      </c>
      <c r="D25" t="s">
        <v>229</v>
      </c>
      <c r="E25" t="s">
        <v>215</v>
      </c>
      <c r="F25" t="s">
        <v>179</v>
      </c>
      <c r="G25">
        <v>4.4</v>
      </c>
      <c r="H25" t="s">
        <v>180</v>
      </c>
      <c r="I25" t="s">
        <v>111</v>
      </c>
      <c r="J25" t="s">
        <v>111</v>
      </c>
      <c r="K25" s="6" t="s">
        <v>111</v>
      </c>
      <c r="L25" t="s">
        <v>181</v>
      </c>
      <c r="M25" t="s">
        <v>111</v>
      </c>
    </row>
    <row r="26" spans="1:13" x14ac:dyDescent="0.25">
      <c r="A26">
        <v>25</v>
      </c>
      <c r="B26" t="s">
        <v>230</v>
      </c>
      <c r="C26" t="s">
        <v>133</v>
      </c>
      <c r="D26" t="s">
        <v>134</v>
      </c>
      <c r="E26" t="s">
        <v>197</v>
      </c>
      <c r="F26" t="s">
        <v>179</v>
      </c>
      <c r="G26">
        <v>0</v>
      </c>
      <c r="H26" t="s">
        <v>198</v>
      </c>
      <c r="I26" t="s">
        <v>63</v>
      </c>
      <c r="J26">
        <v>1</v>
      </c>
      <c r="K26" s="6">
        <v>1049.4</v>
      </c>
      <c r="L26" t="s">
        <v>199</v>
      </c>
      <c r="M26" t="s">
        <v>65</v>
      </c>
    </row>
    <row r="27" spans="1:13" x14ac:dyDescent="0.25">
      <c r="A27">
        <v>26</v>
      </c>
      <c r="B27" t="s">
        <v>200</v>
      </c>
      <c r="C27" t="s">
        <v>133</v>
      </c>
      <c r="D27" t="s">
        <v>205</v>
      </c>
      <c r="E27" t="s">
        <v>202</v>
      </c>
      <c r="F27" t="s">
        <v>187</v>
      </c>
      <c r="G27">
        <v>3.3</v>
      </c>
      <c r="H27" t="s">
        <v>111</v>
      </c>
      <c r="I27" t="s">
        <v>111</v>
      </c>
      <c r="J27" t="s">
        <v>111</v>
      </c>
      <c r="K27" s="6" t="s">
        <v>111</v>
      </c>
      <c r="L27" t="s">
        <v>181</v>
      </c>
      <c r="M27" t="s">
        <v>231</v>
      </c>
    </row>
    <row r="28" spans="1:13" x14ac:dyDescent="0.25">
      <c r="A28">
        <v>27</v>
      </c>
      <c r="B28" t="s">
        <v>232</v>
      </c>
      <c r="C28" t="s">
        <v>133</v>
      </c>
      <c r="D28" t="s">
        <v>136</v>
      </c>
      <c r="E28" t="s">
        <v>197</v>
      </c>
      <c r="F28" t="s">
        <v>179</v>
      </c>
      <c r="G28">
        <v>0</v>
      </c>
      <c r="H28" t="s">
        <v>198</v>
      </c>
      <c r="I28" t="s">
        <v>67</v>
      </c>
      <c r="J28">
        <v>1</v>
      </c>
      <c r="K28" s="6" t="s">
        <v>111</v>
      </c>
      <c r="L28" t="s">
        <v>199</v>
      </c>
      <c r="M28" t="s">
        <v>70</v>
      </c>
    </row>
    <row r="29" spans="1:13" x14ac:dyDescent="0.25">
      <c r="A29">
        <v>28</v>
      </c>
      <c r="B29" t="s">
        <v>233</v>
      </c>
      <c r="C29" t="s">
        <v>133</v>
      </c>
      <c r="D29" t="s">
        <v>138</v>
      </c>
      <c r="E29" t="s">
        <v>197</v>
      </c>
      <c r="F29" t="s">
        <v>179</v>
      </c>
      <c r="G29">
        <v>0.2</v>
      </c>
      <c r="H29" t="s">
        <v>198</v>
      </c>
      <c r="I29" t="s">
        <v>72</v>
      </c>
      <c r="J29">
        <v>1</v>
      </c>
      <c r="K29" s="6">
        <v>273.01</v>
      </c>
      <c r="L29" t="s">
        <v>199</v>
      </c>
      <c r="M29" t="s">
        <v>74</v>
      </c>
    </row>
    <row r="30" spans="1:13" x14ac:dyDescent="0.25">
      <c r="A30">
        <v>29</v>
      </c>
      <c r="B30" t="s">
        <v>234</v>
      </c>
      <c r="C30" t="s">
        <v>133</v>
      </c>
      <c r="D30" t="s">
        <v>140</v>
      </c>
      <c r="E30" t="s">
        <v>197</v>
      </c>
      <c r="F30" t="s">
        <v>179</v>
      </c>
      <c r="G30">
        <v>7.5</v>
      </c>
      <c r="H30" t="s">
        <v>198</v>
      </c>
      <c r="I30" t="s">
        <v>76</v>
      </c>
      <c r="J30">
        <v>1</v>
      </c>
      <c r="K30" s="6">
        <v>594.64</v>
      </c>
      <c r="L30" t="s">
        <v>199</v>
      </c>
      <c r="M30" t="s">
        <v>78</v>
      </c>
    </row>
    <row r="31" spans="1:13" x14ac:dyDescent="0.25">
      <c r="A31">
        <v>30</v>
      </c>
      <c r="B31" t="s">
        <v>200</v>
      </c>
      <c r="C31" t="s">
        <v>235</v>
      </c>
      <c r="D31" t="s">
        <v>236</v>
      </c>
      <c r="E31" t="s">
        <v>237</v>
      </c>
      <c r="F31" t="s">
        <v>111</v>
      </c>
      <c r="G31">
        <v>0</v>
      </c>
      <c r="H31" t="s">
        <v>111</v>
      </c>
      <c r="I31" t="s">
        <v>111</v>
      </c>
      <c r="J31" t="s">
        <v>111</v>
      </c>
      <c r="K31" s="6" t="s">
        <v>111</v>
      </c>
      <c r="L31" t="s">
        <v>199</v>
      </c>
      <c r="M31" t="s">
        <v>238</v>
      </c>
    </row>
    <row r="32" spans="1:13" x14ac:dyDescent="0.25">
      <c r="A32">
        <v>31</v>
      </c>
      <c r="B32" t="s">
        <v>200</v>
      </c>
      <c r="C32" t="s">
        <v>239</v>
      </c>
      <c r="D32" t="s">
        <v>240</v>
      </c>
      <c r="E32" t="s">
        <v>241</v>
      </c>
      <c r="F32" t="s">
        <v>187</v>
      </c>
      <c r="G32">
        <v>2.3</v>
      </c>
      <c r="H32" t="s">
        <v>111</v>
      </c>
      <c r="I32" t="s">
        <v>111</v>
      </c>
      <c r="J32" t="s">
        <v>111</v>
      </c>
      <c r="K32" s="6" t="s">
        <v>111</v>
      </c>
      <c r="L32" t="s">
        <v>181</v>
      </c>
      <c r="M32" t="s">
        <v>242</v>
      </c>
    </row>
    <row r="33" spans="1:13" x14ac:dyDescent="0.25">
      <c r="A33">
        <v>32</v>
      </c>
      <c r="B33" t="s">
        <v>243</v>
      </c>
      <c r="C33" t="s">
        <v>239</v>
      </c>
      <c r="D33" t="s">
        <v>244</v>
      </c>
      <c r="E33" t="s">
        <v>241</v>
      </c>
      <c r="F33" t="s">
        <v>245</v>
      </c>
      <c r="G33">
        <v>1</v>
      </c>
      <c r="H33" t="s">
        <v>111</v>
      </c>
      <c r="I33" t="s">
        <v>111</v>
      </c>
      <c r="J33" t="s">
        <v>111</v>
      </c>
      <c r="K33" s="6" t="s">
        <v>111</v>
      </c>
      <c r="L33" t="s">
        <v>181</v>
      </c>
      <c r="M33" t="s">
        <v>111</v>
      </c>
    </row>
    <row r="34" spans="1:13" x14ac:dyDescent="0.25">
      <c r="A34">
        <v>33</v>
      </c>
      <c r="B34" t="s">
        <v>246</v>
      </c>
      <c r="C34" t="s">
        <v>239</v>
      </c>
      <c r="D34" t="s">
        <v>247</v>
      </c>
      <c r="E34" t="s">
        <v>241</v>
      </c>
      <c r="F34" t="s">
        <v>209</v>
      </c>
      <c r="G34">
        <v>1</v>
      </c>
      <c r="H34" t="s">
        <v>111</v>
      </c>
      <c r="I34" t="s">
        <v>111</v>
      </c>
      <c r="J34" t="s">
        <v>111</v>
      </c>
      <c r="K34" s="6" t="s">
        <v>111</v>
      </c>
      <c r="L34" t="s">
        <v>181</v>
      </c>
      <c r="M34" t="s">
        <v>248</v>
      </c>
    </row>
    <row r="35" spans="1:13" x14ac:dyDescent="0.25">
      <c r="A35">
        <v>34</v>
      </c>
      <c r="B35" t="s">
        <v>249</v>
      </c>
      <c r="C35" t="s">
        <v>239</v>
      </c>
      <c r="D35" t="s">
        <v>250</v>
      </c>
      <c r="E35" t="s">
        <v>241</v>
      </c>
      <c r="F35" t="s">
        <v>187</v>
      </c>
      <c r="G35">
        <v>1</v>
      </c>
      <c r="H35" t="s">
        <v>111</v>
      </c>
      <c r="I35" t="s">
        <v>111</v>
      </c>
      <c r="J35" t="s">
        <v>111</v>
      </c>
      <c r="K35" s="6" t="s">
        <v>111</v>
      </c>
      <c r="L35" t="s">
        <v>181</v>
      </c>
      <c r="M35" t="s">
        <v>111</v>
      </c>
    </row>
    <row r="36" spans="1:13" x14ac:dyDescent="0.25">
      <c r="A36">
        <v>35</v>
      </c>
      <c r="B36" t="s">
        <v>251</v>
      </c>
      <c r="C36" t="s">
        <v>239</v>
      </c>
      <c r="D36" t="s">
        <v>252</v>
      </c>
      <c r="E36" t="s">
        <v>241</v>
      </c>
      <c r="F36" t="s">
        <v>187</v>
      </c>
      <c r="G36">
        <v>0.3</v>
      </c>
      <c r="H36" t="s">
        <v>111</v>
      </c>
      <c r="I36" t="s">
        <v>111</v>
      </c>
      <c r="J36" t="s">
        <v>111</v>
      </c>
      <c r="K36" s="6" t="s">
        <v>111</v>
      </c>
      <c r="L36" t="s">
        <v>181</v>
      </c>
      <c r="M36" t="s">
        <v>253</v>
      </c>
    </row>
    <row r="37" spans="1:13" x14ac:dyDescent="0.25">
      <c r="A37">
        <v>36</v>
      </c>
      <c r="B37" t="s">
        <v>254</v>
      </c>
      <c r="C37" t="s">
        <v>142</v>
      </c>
      <c r="D37" t="s">
        <v>143</v>
      </c>
      <c r="E37" t="s">
        <v>197</v>
      </c>
      <c r="F37" t="s">
        <v>179</v>
      </c>
      <c r="G37">
        <v>0</v>
      </c>
      <c r="H37" t="s">
        <v>198</v>
      </c>
      <c r="I37" t="s">
        <v>80</v>
      </c>
      <c r="J37">
        <v>1</v>
      </c>
      <c r="K37" s="6">
        <v>450</v>
      </c>
      <c r="L37" t="s">
        <v>199</v>
      </c>
      <c r="M37" t="s">
        <v>82</v>
      </c>
    </row>
    <row r="38" spans="1:13" x14ac:dyDescent="0.25">
      <c r="A38">
        <v>37</v>
      </c>
      <c r="B38" t="s">
        <v>255</v>
      </c>
      <c r="C38" t="s">
        <v>142</v>
      </c>
      <c r="D38" t="s">
        <v>147</v>
      </c>
      <c r="E38" t="s">
        <v>197</v>
      </c>
      <c r="F38" t="s">
        <v>179</v>
      </c>
      <c r="G38">
        <v>0</v>
      </c>
      <c r="H38" t="s">
        <v>198</v>
      </c>
      <c r="I38" t="s">
        <v>80</v>
      </c>
      <c r="J38">
        <v>1</v>
      </c>
      <c r="K38" s="6">
        <v>450</v>
      </c>
      <c r="L38" t="s">
        <v>199</v>
      </c>
      <c r="M38" t="s">
        <v>82</v>
      </c>
    </row>
    <row r="39" spans="1:13" x14ac:dyDescent="0.25">
      <c r="A39">
        <v>38</v>
      </c>
      <c r="B39" t="s">
        <v>256</v>
      </c>
      <c r="C39" t="s">
        <v>142</v>
      </c>
      <c r="D39" t="s">
        <v>148</v>
      </c>
      <c r="E39" t="s">
        <v>197</v>
      </c>
      <c r="F39" t="s">
        <v>179</v>
      </c>
      <c r="G39">
        <v>1</v>
      </c>
      <c r="H39" t="s">
        <v>198</v>
      </c>
      <c r="I39" t="s">
        <v>85</v>
      </c>
      <c r="J39">
        <v>2</v>
      </c>
      <c r="K39" s="6">
        <v>50</v>
      </c>
      <c r="L39" t="s">
        <v>199</v>
      </c>
      <c r="M39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Summary &amp; Shop Sheet</vt:lpstr>
      <vt:lpstr>2. Parts Comparison</vt:lpstr>
      <vt:lpstr>3. Bundles &amp; Proportional Split</vt:lpstr>
      <vt:lpstr>4. Full 38-Line Shop 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Corvette Z51 PriceCompare Tracker</dc:creator>
  <dc:title/>
  <dc:subject/>
  <dc:description/>
  <cp:keywords/>
  <cp:category/>
  <cp:lastModifiedBy>Unknown</cp:lastModifiedBy>
  <dcterms:created xsi:type="dcterms:W3CDTF">2026-10-26T04:05:21Z</dcterms:created>
  <dcterms:modified xsi:type="dcterms:W3CDTF">2026-10-26T04:05:21Z</dcterms:modified>
</cp:coreProperties>
</file>